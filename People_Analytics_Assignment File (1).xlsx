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 (Charts &amp; KPIs)" sheetId="1" r:id="rId4"/>
    <sheet state="visible" name="Pivot Tables" sheetId="2" r:id="rId5"/>
    <sheet state="visible" name="Working_Data" sheetId="3" r:id="rId6"/>
    <sheet state="visible" name="Employees" sheetId="4" r:id="rId7"/>
    <sheet state="visible" name="Level_Map" sheetId="5" r:id="rId8"/>
    <sheet state="visible" name="Function_BU_Map" sheetId="6" r:id="rId9"/>
  </sheets>
  <definedNames/>
  <calcPr/>
  <pivotCaches>
    <pivotCache cacheId="0" r:id="rId10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Joiners vs exit trend the last is grand total.
	-Vamsi Majeti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Attrition rate is calculated as monthly exits divided by average headcount (120) for 2024.</t>
      </text>
    </comment>
  </commentList>
</comments>
</file>

<file path=xl/sharedStrings.xml><?xml version="1.0" encoding="utf-8"?>
<sst xmlns="http://schemas.openxmlformats.org/spreadsheetml/2006/main" count="3631" uniqueCount="557">
  <si>
    <t>Insight 1: Attrition in 2024 is primarily driven by employees with shorter tenure, indicating early stage retention.</t>
  </si>
  <si>
    <t>Insight 2: Engineering &amp; mid level roles show comparatively higher exits, suggesting targeted retention &amp; workload review opportunities.</t>
  </si>
  <si>
    <t>Joiners Trend for 2024</t>
  </si>
  <si>
    <t>Monthly Exit Trend for 2024</t>
  </si>
  <si>
    <t>Joiners vs Exits for 2024 (Stacked Bar chart)</t>
  </si>
  <si>
    <t>Headcount by Function &amp; Level</t>
  </si>
  <si>
    <t>Joining month</t>
  </si>
  <si>
    <t>COUNTA of Emp ID</t>
  </si>
  <si>
    <t>Exit month</t>
  </si>
  <si>
    <t>Function</t>
  </si>
  <si>
    <t>Feb 2024</t>
  </si>
  <si>
    <t>Sep 2025</t>
  </si>
  <si>
    <t>Nov 2024</t>
  </si>
  <si>
    <t>Level_Group</t>
  </si>
  <si>
    <t>Engineering</t>
  </si>
  <si>
    <t>CX</t>
  </si>
  <si>
    <t>Product</t>
  </si>
  <si>
    <t>Marketing</t>
  </si>
  <si>
    <t>HR</t>
  </si>
  <si>
    <t>Data</t>
  </si>
  <si>
    <t>Risk</t>
  </si>
  <si>
    <t>Finance</t>
  </si>
  <si>
    <t>Grand Total</t>
  </si>
  <si>
    <t>Jan 2024</t>
  </si>
  <si>
    <t>Jun 2025</t>
  </si>
  <si>
    <t>L1</t>
  </si>
  <si>
    <t>May 2024</t>
  </si>
  <si>
    <t>Sep 2023</t>
  </si>
  <si>
    <t>Dec 2024</t>
  </si>
  <si>
    <t>L2</t>
  </si>
  <si>
    <t>Oct 2024</t>
  </si>
  <si>
    <t>Oct 2025</t>
  </si>
  <si>
    <t>Sep 2024</t>
  </si>
  <si>
    <t>L3</t>
  </si>
  <si>
    <t>Jul 2024</t>
  </si>
  <si>
    <t>Oct 2023</t>
  </si>
  <si>
    <t>Jun 2024</t>
  </si>
  <si>
    <t>L4</t>
  </si>
  <si>
    <t>Mar 2024</t>
  </si>
  <si>
    <t>Aug 2024</t>
  </si>
  <si>
    <t>L5</t>
  </si>
  <si>
    <t>May 2025</t>
  </si>
  <si>
    <t>L6</t>
  </si>
  <si>
    <t>L7</t>
  </si>
  <si>
    <t>L8</t>
  </si>
  <si>
    <t>Apr 2024</t>
  </si>
  <si>
    <t>Apr 2025</t>
  </si>
  <si>
    <t>Mar 2025</t>
  </si>
  <si>
    <t>Helper pivot for Attrition Rate</t>
  </si>
  <si>
    <t>Exits in 2024</t>
  </si>
  <si>
    <t>Jun 2023</t>
  </si>
  <si>
    <t xml:space="preserve">Attrition Insights - Exits by Function (2024) &amp; Top 3 Functions with Most Exits (2024 only)        </t>
  </si>
  <si>
    <t>Exits by Level (2024)</t>
  </si>
  <si>
    <t>Exits by Tenure Bracket (2024)</t>
  </si>
  <si>
    <t>Exits by Level Group</t>
  </si>
  <si>
    <t>Jul 2025</t>
  </si>
  <si>
    <t>Tenure bracket</t>
  </si>
  <si>
    <t>Jul 2023</t>
  </si>
  <si>
    <t>&lt;1 year</t>
  </si>
  <si>
    <t>Attrition Rate Trend for 2024</t>
  </si>
  <si>
    <t>Jan 2025</t>
  </si>
  <si>
    <t>1–2 years</t>
  </si>
  <si>
    <t>Jan 2023</t>
  </si>
  <si>
    <t>2–4 years</t>
  </si>
  <si>
    <t>Feb 2025</t>
  </si>
  <si>
    <t>Dec 2023</t>
  </si>
  <si>
    <t>Emp ID</t>
  </si>
  <si>
    <t>Full name</t>
  </si>
  <si>
    <t>Date of joining</t>
  </si>
  <si>
    <t>Email</t>
  </si>
  <si>
    <t>Gender</t>
  </si>
  <si>
    <t>Emp type</t>
  </si>
  <si>
    <t>Emp status</t>
  </si>
  <si>
    <t>Designation</t>
  </si>
  <si>
    <t>Team</t>
  </si>
  <si>
    <t>Department</t>
  </si>
  <si>
    <t>Sub department</t>
  </si>
  <si>
    <t>Reporting manager</t>
  </si>
  <si>
    <t>Lead POC</t>
  </si>
  <si>
    <t>Exit date</t>
  </si>
  <si>
    <t>Business_unit</t>
  </si>
  <si>
    <t>Status_Flag</t>
  </si>
  <si>
    <t>Join_Quarter</t>
  </si>
  <si>
    <t>Exit_Quarter</t>
  </si>
  <si>
    <t>Join_Year</t>
  </si>
  <si>
    <t>EP1000</t>
  </si>
  <si>
    <t>Employee 1</t>
  </si>
  <si>
    <t>ep1000@example.com</t>
  </si>
  <si>
    <t>Male</t>
  </si>
  <si>
    <t>Contractor</t>
  </si>
  <si>
    <t>Relieved</t>
  </si>
  <si>
    <t>Senior Analyst</t>
  </si>
  <si>
    <t>Ops Excellence</t>
  </si>
  <si>
    <t>FP&amp;A</t>
  </si>
  <si>
    <t>Mgr 11</t>
  </si>
  <si>
    <t>Lead 11</t>
  </si>
  <si>
    <t>Aug 2025</t>
  </si>
  <si>
    <t>EP1001</t>
  </si>
  <si>
    <t>Employee 2</t>
  </si>
  <si>
    <t>ep1001@example.com</t>
  </si>
  <si>
    <t>Female</t>
  </si>
  <si>
    <t>Permanent</t>
  </si>
  <si>
    <t>Working</t>
  </si>
  <si>
    <t>Senior Director</t>
  </si>
  <si>
    <t>Payroll</t>
  </si>
  <si>
    <t>Mgr 6</t>
  </si>
  <si>
    <t>Lead 2</t>
  </si>
  <si>
    <t>Feb 2022</t>
  </si>
  <si>
    <t>EP1002</t>
  </si>
  <si>
    <t>Employee 3</t>
  </si>
  <si>
    <t>ep1002@example.com</t>
  </si>
  <si>
    <t>Associate</t>
  </si>
  <si>
    <t>Design</t>
  </si>
  <si>
    <t>Mgr 10</t>
  </si>
  <si>
    <t>Lead 16</t>
  </si>
  <si>
    <t>EP1003</t>
  </si>
  <si>
    <t>Employee 4</t>
  </si>
  <si>
    <t>ep1003@example.com</t>
  </si>
  <si>
    <t>Senior Associate</t>
  </si>
  <si>
    <t>Wealth</t>
  </si>
  <si>
    <t>Collections</t>
  </si>
  <si>
    <t>Mgr 19</t>
  </si>
  <si>
    <t>Lead 7</t>
  </si>
  <si>
    <t>May 2023</t>
  </si>
  <si>
    <t>EP1004</t>
  </si>
  <si>
    <t>Employee 5</t>
  </si>
  <si>
    <t>ep1004@example.com</t>
  </si>
  <si>
    <t>Lending</t>
  </si>
  <si>
    <t>Data Eng</t>
  </si>
  <si>
    <t>Mgr 2</t>
  </si>
  <si>
    <t>Lead 20</t>
  </si>
  <si>
    <t>Oct 2022</t>
  </si>
  <si>
    <t>EP1005</t>
  </si>
  <si>
    <t>Employee 6</t>
  </si>
  <si>
    <t>ep1005@example.com</t>
  </si>
  <si>
    <t>Director</t>
  </si>
  <si>
    <t>Banking</t>
  </si>
  <si>
    <t>Training</t>
  </si>
  <si>
    <t>Mgr 8</t>
  </si>
  <si>
    <t>Lead 4</t>
  </si>
  <si>
    <t>EP1006</t>
  </si>
  <si>
    <t>Employee 7</t>
  </si>
  <si>
    <t>ep1006@example.com</t>
  </si>
  <si>
    <t>Quality</t>
  </si>
  <si>
    <t>Lead 10</t>
  </si>
  <si>
    <t>Jun 2022</t>
  </si>
  <si>
    <t>EP1007</t>
  </si>
  <si>
    <t>Employee 8</t>
  </si>
  <si>
    <t>ep1007@example.com</t>
  </si>
  <si>
    <t>Analyst</t>
  </si>
  <si>
    <t>Talent Acquisition</t>
  </si>
  <si>
    <t>Mgr 16</t>
  </si>
  <si>
    <t>Lead 13</t>
  </si>
  <si>
    <t>EP1008</t>
  </si>
  <si>
    <t>Employee 9</t>
  </si>
  <si>
    <t>ep1008@example.com</t>
  </si>
  <si>
    <t>Intern</t>
  </si>
  <si>
    <t>Cards</t>
  </si>
  <si>
    <t>Product Mgmt</t>
  </si>
  <si>
    <t>Mgr 7</t>
  </si>
  <si>
    <t>Lead 9</t>
  </si>
  <si>
    <t>EP1009</t>
  </si>
  <si>
    <t>Employee 10</t>
  </si>
  <si>
    <t>ep1009@example.com</t>
  </si>
  <si>
    <t>Manager</t>
  </si>
  <si>
    <t>Platform</t>
  </si>
  <si>
    <t>Mgr 1</t>
  </si>
  <si>
    <t>Lead 5</t>
  </si>
  <si>
    <t>Mar 2022</t>
  </si>
  <si>
    <t>EP1010</t>
  </si>
  <si>
    <t>Employee 11</t>
  </si>
  <si>
    <t>ep1010@example.com</t>
  </si>
  <si>
    <t>People Ops</t>
  </si>
  <si>
    <t>Mgr 5</t>
  </si>
  <si>
    <t>Lead 3</t>
  </si>
  <si>
    <t>Jul 2022</t>
  </si>
  <si>
    <t>EP1011</t>
  </si>
  <si>
    <t>Employee 12</t>
  </si>
  <si>
    <t>ep1011@example.com</t>
  </si>
  <si>
    <t>Lead 23</t>
  </si>
  <si>
    <t>Apr 2023</t>
  </si>
  <si>
    <t>EP1012</t>
  </si>
  <si>
    <t>Employee 13</t>
  </si>
  <si>
    <t>ep1012@example.com</t>
  </si>
  <si>
    <t>Lead 17</t>
  </si>
  <si>
    <t>EP1013</t>
  </si>
  <si>
    <t>Employee 14</t>
  </si>
  <si>
    <t>ep1013@example.com</t>
  </si>
  <si>
    <t>L&amp;D</t>
  </si>
  <si>
    <t>Mgr 13</t>
  </si>
  <si>
    <t>EP1014</t>
  </si>
  <si>
    <t>Employee 15</t>
  </si>
  <si>
    <t>ep1014@example.com</t>
  </si>
  <si>
    <t>Growth</t>
  </si>
  <si>
    <t>Mgr 12</t>
  </si>
  <si>
    <t>Lead 12</t>
  </si>
  <si>
    <t>Feb 2023</t>
  </si>
  <si>
    <t>EP1015</t>
  </si>
  <si>
    <t>Employee 16</t>
  </si>
  <si>
    <t>ep1015@example.com</t>
  </si>
  <si>
    <t>Consultant</t>
  </si>
  <si>
    <t>Research</t>
  </si>
  <si>
    <t>EP1016</t>
  </si>
  <si>
    <t>Employee 17</t>
  </si>
  <si>
    <t>ep1016@example.com</t>
  </si>
  <si>
    <t>EP1017</t>
  </si>
  <si>
    <t>Employee 18</t>
  </si>
  <si>
    <t>ep1017@example.com</t>
  </si>
  <si>
    <t>QA</t>
  </si>
  <si>
    <t>EP1018</t>
  </si>
  <si>
    <t>Employee 19</t>
  </si>
  <si>
    <t>ep1018@example.com</t>
  </si>
  <si>
    <t>Lead 1</t>
  </si>
  <si>
    <t>EP1019</t>
  </si>
  <si>
    <t>Employee 20</t>
  </si>
  <si>
    <t>ep1019@example.com</t>
  </si>
  <si>
    <t>Lead 24</t>
  </si>
  <si>
    <t>EP1020</t>
  </si>
  <si>
    <t>Employee 21</t>
  </si>
  <si>
    <t>ep1020@example.com</t>
  </si>
  <si>
    <t>EP1021</t>
  </si>
  <si>
    <t>Employee 22</t>
  </si>
  <si>
    <t>ep1021@example.com</t>
  </si>
  <si>
    <t>Accounting</t>
  </si>
  <si>
    <t>Mgr 3</t>
  </si>
  <si>
    <t>Lead 19</t>
  </si>
  <si>
    <t>Jan 2022</t>
  </si>
  <si>
    <t>EP1022</t>
  </si>
  <si>
    <t>Employee 23</t>
  </si>
  <si>
    <t>ep1022@example.com</t>
  </si>
  <si>
    <t>Senior Manager</t>
  </si>
  <si>
    <t>Data Science</t>
  </si>
  <si>
    <t>Mgr 18</t>
  </si>
  <si>
    <t>EP1023</t>
  </si>
  <si>
    <t>Employee 24</t>
  </si>
  <si>
    <t>ep1023@example.com</t>
  </si>
  <si>
    <t>Mgr 17</t>
  </si>
  <si>
    <t>Nov 2023</t>
  </si>
  <si>
    <t>EP1024</t>
  </si>
  <si>
    <t>Employee 25</t>
  </si>
  <si>
    <t>ep1024@example.com</t>
  </si>
  <si>
    <t>Other</t>
  </si>
  <si>
    <t>EP1025</t>
  </si>
  <si>
    <t>Employee 26</t>
  </si>
  <si>
    <t>ep1025@example.com</t>
  </si>
  <si>
    <t>Nov 2022</t>
  </si>
  <si>
    <t>EP1026</t>
  </si>
  <si>
    <t>Employee 27</t>
  </si>
  <si>
    <t>ep1026@example.com</t>
  </si>
  <si>
    <t>Mar 2023</t>
  </si>
  <si>
    <t>EP1027</t>
  </si>
  <si>
    <t>Employee 28</t>
  </si>
  <si>
    <t>ep1027@example.com</t>
  </si>
  <si>
    <t>EP1028</t>
  </si>
  <si>
    <t>Employee 29</t>
  </si>
  <si>
    <t>ep1028@example.com</t>
  </si>
  <si>
    <t>Lead 21</t>
  </si>
  <si>
    <t>EP1029</t>
  </si>
  <si>
    <t>Employee 30</t>
  </si>
  <si>
    <t>ep1029@example.com</t>
  </si>
  <si>
    <t>Support</t>
  </si>
  <si>
    <t>EP1030</t>
  </si>
  <si>
    <t>Employee 31</t>
  </si>
  <si>
    <t>ep1030@example.com</t>
  </si>
  <si>
    <t>EP1031</t>
  </si>
  <si>
    <t>Employee 32</t>
  </si>
  <si>
    <t>ep1031@example.com</t>
  </si>
  <si>
    <t>EP1032</t>
  </si>
  <si>
    <t>Employee 33</t>
  </si>
  <si>
    <t>ep1032@example.com</t>
  </si>
  <si>
    <t>Mgr 15</t>
  </si>
  <si>
    <t>Lead 22</t>
  </si>
  <si>
    <t>EP1033</t>
  </si>
  <si>
    <t>Employee 34</t>
  </si>
  <si>
    <t>ep1033@example.com</t>
  </si>
  <si>
    <t>EP1034</t>
  </si>
  <si>
    <t>Employee 35</t>
  </si>
  <si>
    <t>ep1034@example.com</t>
  </si>
  <si>
    <t>Performance</t>
  </si>
  <si>
    <t>Mgr 4</t>
  </si>
  <si>
    <t>EP1035</t>
  </si>
  <si>
    <t>Employee 36</t>
  </si>
  <si>
    <t>ep1035@example.com</t>
  </si>
  <si>
    <t>EP1036</t>
  </si>
  <si>
    <t>Employee 37</t>
  </si>
  <si>
    <t>ep1036@example.com</t>
  </si>
  <si>
    <t>EP1037</t>
  </si>
  <si>
    <t>Employee 38</t>
  </si>
  <si>
    <t>ep1037@example.com</t>
  </si>
  <si>
    <t>EP1038</t>
  </si>
  <si>
    <t>Employee 39</t>
  </si>
  <si>
    <t>ep1038@example.com</t>
  </si>
  <si>
    <t>Frontend</t>
  </si>
  <si>
    <t>Lead 18</t>
  </si>
  <si>
    <t>EP1039</t>
  </si>
  <si>
    <t>Employee 40</t>
  </si>
  <si>
    <t>ep1039@example.com</t>
  </si>
  <si>
    <t>Content</t>
  </si>
  <si>
    <t>Aug 2023</t>
  </si>
  <si>
    <t>EP1040</t>
  </si>
  <si>
    <t>Employee 41</t>
  </si>
  <si>
    <t>ep1040@example.com</t>
  </si>
  <si>
    <t>Underwriting</t>
  </si>
  <si>
    <t>Lead 8</t>
  </si>
  <si>
    <t>EP1041</t>
  </si>
  <si>
    <t>Employee 42</t>
  </si>
  <si>
    <t>ep1041@example.com</t>
  </si>
  <si>
    <t>EP1042</t>
  </si>
  <si>
    <t>Employee 43</t>
  </si>
  <si>
    <t>ep1042@example.com</t>
  </si>
  <si>
    <t>EP1043</t>
  </si>
  <si>
    <t>Employee 44</t>
  </si>
  <si>
    <t>ep1043@example.com</t>
  </si>
  <si>
    <t>EP1044</t>
  </si>
  <si>
    <t>Employee 45</t>
  </si>
  <si>
    <t>ep1044@example.com</t>
  </si>
  <si>
    <t>May 2022</t>
  </si>
  <si>
    <t>EP1045</t>
  </si>
  <si>
    <t>Employee 46</t>
  </si>
  <si>
    <t>ep1045@example.com</t>
  </si>
  <si>
    <t>Apr 2022</t>
  </si>
  <si>
    <t>EP1046</t>
  </si>
  <si>
    <t>Employee 47</t>
  </si>
  <si>
    <t>ep1046@example.com</t>
  </si>
  <si>
    <t>EP1047</t>
  </si>
  <si>
    <t>Employee 48</t>
  </si>
  <si>
    <t>ep1047@example.com</t>
  </si>
  <si>
    <t>EP1048</t>
  </si>
  <si>
    <t>Employee 49</t>
  </si>
  <si>
    <t>ep1048@example.com</t>
  </si>
  <si>
    <t>EP1049</t>
  </si>
  <si>
    <t>Employee 50</t>
  </si>
  <si>
    <t>ep1049@example.com</t>
  </si>
  <si>
    <t>EP1050</t>
  </si>
  <si>
    <t>Employee 51</t>
  </si>
  <si>
    <t>ep1050@example.com</t>
  </si>
  <si>
    <t>EP1051</t>
  </si>
  <si>
    <t>Employee 52</t>
  </si>
  <si>
    <t>ep1051@example.com</t>
  </si>
  <si>
    <t>EP1052</t>
  </si>
  <si>
    <t>Employee 53</t>
  </si>
  <si>
    <t>ep1052@example.com</t>
  </si>
  <si>
    <t>Lead 15</t>
  </si>
  <si>
    <t>EP1053</t>
  </si>
  <si>
    <t>Employee 54</t>
  </si>
  <si>
    <t>ep1053@example.com</t>
  </si>
  <si>
    <t>EP1054</t>
  </si>
  <si>
    <t>Employee 55</t>
  </si>
  <si>
    <t>ep1054@example.com</t>
  </si>
  <si>
    <t>EP1055</t>
  </si>
  <si>
    <t>Employee 56</t>
  </si>
  <si>
    <t>ep1055@example.com</t>
  </si>
  <si>
    <t>EP1056</t>
  </si>
  <si>
    <t>Employee 57</t>
  </si>
  <si>
    <t>ep1056@example.com</t>
  </si>
  <si>
    <t>Backend</t>
  </si>
  <si>
    <t>EP1057</t>
  </si>
  <si>
    <t>Employee 58</t>
  </si>
  <si>
    <t>ep1057@example.com</t>
  </si>
  <si>
    <t>EP1058</t>
  </si>
  <si>
    <t>Employee 59</t>
  </si>
  <si>
    <t>ep1058@example.com</t>
  </si>
  <si>
    <t>EP1059</t>
  </si>
  <si>
    <t>Employee 60</t>
  </si>
  <si>
    <t>ep1059@example.com</t>
  </si>
  <si>
    <t>EP1060</t>
  </si>
  <si>
    <t>Employee 61</t>
  </si>
  <si>
    <t>ep1060@example.com</t>
  </si>
  <si>
    <t>Analytics</t>
  </si>
  <si>
    <t>EP1061</t>
  </si>
  <si>
    <t>Employee 62</t>
  </si>
  <si>
    <t>ep1061@example.com</t>
  </si>
  <si>
    <t>EP1062</t>
  </si>
  <si>
    <t>Employee 63</t>
  </si>
  <si>
    <t>ep1062@example.com</t>
  </si>
  <si>
    <t>EP1063</t>
  </si>
  <si>
    <t>Employee 64</t>
  </si>
  <si>
    <t>ep1063@example.com</t>
  </si>
  <si>
    <t>EP1064</t>
  </si>
  <si>
    <t>Employee 65</t>
  </si>
  <si>
    <t>ep1064@example.com</t>
  </si>
  <si>
    <t>Dec 2022</t>
  </si>
  <si>
    <t>EP1065</t>
  </si>
  <si>
    <t>Employee 66</t>
  </si>
  <si>
    <t>ep1065@example.com</t>
  </si>
  <si>
    <t>EP1066</t>
  </si>
  <si>
    <t>Employee 67</t>
  </si>
  <si>
    <t>ep1066@example.com</t>
  </si>
  <si>
    <t>EP1067</t>
  </si>
  <si>
    <t>Employee 68</t>
  </si>
  <si>
    <t>ep1067@example.com</t>
  </si>
  <si>
    <t>Lead 6</t>
  </si>
  <si>
    <t>EP1068</t>
  </si>
  <si>
    <t>Employee 69</t>
  </si>
  <si>
    <t>ep1068@example.com</t>
  </si>
  <si>
    <t>Mgr 9</t>
  </si>
  <si>
    <t>Lead 14</t>
  </si>
  <si>
    <t>EP1069</t>
  </si>
  <si>
    <t>Employee 70</t>
  </si>
  <si>
    <t>ep1069@example.com</t>
  </si>
  <si>
    <t>EP1070</t>
  </si>
  <si>
    <t>Employee 71</t>
  </si>
  <si>
    <t>ep1070@example.com</t>
  </si>
  <si>
    <t>EP1071</t>
  </si>
  <si>
    <t>Employee 72</t>
  </si>
  <si>
    <t>ep1071@example.com</t>
  </si>
  <si>
    <t>EP1072</t>
  </si>
  <si>
    <t>Employee 73</t>
  </si>
  <si>
    <t>ep1072@example.com</t>
  </si>
  <si>
    <t>EP1073</t>
  </si>
  <si>
    <t>Employee 74</t>
  </si>
  <si>
    <t>ep1073@example.com</t>
  </si>
  <si>
    <t>EP1074</t>
  </si>
  <si>
    <t>Employee 75</t>
  </si>
  <si>
    <t>ep1074@example.com</t>
  </si>
  <si>
    <t>EP1075</t>
  </si>
  <si>
    <t>Employee 76</t>
  </si>
  <si>
    <t>ep1075@example.com</t>
  </si>
  <si>
    <t>EP1076</t>
  </si>
  <si>
    <t>Employee 77</t>
  </si>
  <si>
    <t>ep1076@example.com</t>
  </si>
  <si>
    <t>EP1077</t>
  </si>
  <si>
    <t>Employee 78</t>
  </si>
  <si>
    <t>ep1077@example.com</t>
  </si>
  <si>
    <t>EP1078</t>
  </si>
  <si>
    <t>Employee 79</t>
  </si>
  <si>
    <t>ep1078@example.com</t>
  </si>
  <si>
    <t>EP1079</t>
  </si>
  <si>
    <t>Employee 80</t>
  </si>
  <si>
    <t>ep1079@example.com</t>
  </si>
  <si>
    <t>Mgr 14</t>
  </si>
  <si>
    <t>EP1080</t>
  </si>
  <si>
    <t>Employee 81</t>
  </si>
  <si>
    <t>ep1080@example.com</t>
  </si>
  <si>
    <t>EP1081</t>
  </si>
  <si>
    <t>Employee 82</t>
  </si>
  <si>
    <t>ep1081@example.com</t>
  </si>
  <si>
    <t>EP1082</t>
  </si>
  <si>
    <t>Employee 83</t>
  </si>
  <si>
    <t>ep1082@example.com</t>
  </si>
  <si>
    <t>EP1083</t>
  </si>
  <si>
    <t>Employee 84</t>
  </si>
  <si>
    <t>ep1083@example.com</t>
  </si>
  <si>
    <t>EP1084</t>
  </si>
  <si>
    <t>Employee 85</t>
  </si>
  <si>
    <t>ep1084@example.com</t>
  </si>
  <si>
    <t>EP1085</t>
  </si>
  <si>
    <t>Employee 86</t>
  </si>
  <si>
    <t>ep1085@example.com</t>
  </si>
  <si>
    <t>EP1086</t>
  </si>
  <si>
    <t>Employee 87</t>
  </si>
  <si>
    <t>ep1086@example.com</t>
  </si>
  <si>
    <t>EP1087</t>
  </si>
  <si>
    <t>Employee 88</t>
  </si>
  <si>
    <t>ep1087@example.com</t>
  </si>
  <si>
    <t>EP1088</t>
  </si>
  <si>
    <t>Employee 89</t>
  </si>
  <si>
    <t>ep1088@example.com</t>
  </si>
  <si>
    <t>EP1089</t>
  </si>
  <si>
    <t>Employee 90</t>
  </si>
  <si>
    <t>ep1089@example.com</t>
  </si>
  <si>
    <t>EP1090</t>
  </si>
  <si>
    <t>Employee 91</t>
  </si>
  <si>
    <t>ep1090@example.com</t>
  </si>
  <si>
    <t>EP1091</t>
  </si>
  <si>
    <t>Employee 92</t>
  </si>
  <si>
    <t>ep1091@example.com</t>
  </si>
  <si>
    <t>EP1092</t>
  </si>
  <si>
    <t>Employee 93</t>
  </si>
  <si>
    <t>ep1092@example.com</t>
  </si>
  <si>
    <t>EP1093</t>
  </si>
  <si>
    <t>Employee 94</t>
  </si>
  <si>
    <t>ep1093@example.com</t>
  </si>
  <si>
    <t>EP1094</t>
  </si>
  <si>
    <t>Employee 95</t>
  </si>
  <si>
    <t>ep1094@example.com</t>
  </si>
  <si>
    <t>EP1095</t>
  </si>
  <si>
    <t>Employee 96</t>
  </si>
  <si>
    <t>ep1095@example.com</t>
  </si>
  <si>
    <t>EP1096</t>
  </si>
  <si>
    <t>Employee 97</t>
  </si>
  <si>
    <t>ep1096@example.com</t>
  </si>
  <si>
    <t>EP1097</t>
  </si>
  <si>
    <t>Employee 98</t>
  </si>
  <si>
    <t>ep1097@example.com</t>
  </si>
  <si>
    <t>EP1098</t>
  </si>
  <si>
    <t>Employee 99</t>
  </si>
  <si>
    <t>ep1098@example.com</t>
  </si>
  <si>
    <t>EP1099</t>
  </si>
  <si>
    <t>Employee 100</t>
  </si>
  <si>
    <t>ep1099@example.com</t>
  </si>
  <si>
    <t>EP1100</t>
  </si>
  <si>
    <t>Employee 101</t>
  </si>
  <si>
    <t>ep1100@example.com</t>
  </si>
  <si>
    <t>Aug 2022</t>
  </si>
  <si>
    <t>EP1101</t>
  </si>
  <si>
    <t>Employee 102</t>
  </si>
  <si>
    <t>ep1101@example.com</t>
  </si>
  <si>
    <t>EP1102</t>
  </si>
  <si>
    <t>Employee 103</t>
  </si>
  <si>
    <t>ep1102@example.com</t>
  </si>
  <si>
    <t>EP1103</t>
  </si>
  <si>
    <t>Employee 104</t>
  </si>
  <si>
    <t>ep1103@example.com</t>
  </si>
  <si>
    <t>EP1104</t>
  </si>
  <si>
    <t>Employee 105</t>
  </si>
  <si>
    <t>ep1104@example.com</t>
  </si>
  <si>
    <t>EP1105</t>
  </si>
  <si>
    <t>Employee 106</t>
  </si>
  <si>
    <t>ep1105@example.com</t>
  </si>
  <si>
    <t>EP1106</t>
  </si>
  <si>
    <t>Employee 107</t>
  </si>
  <si>
    <t>ep1106@example.com</t>
  </si>
  <si>
    <t>EP1107</t>
  </si>
  <si>
    <t>Employee 108</t>
  </si>
  <si>
    <t>ep1107@example.com</t>
  </si>
  <si>
    <t>EP1108</t>
  </si>
  <si>
    <t>Employee 109</t>
  </si>
  <si>
    <t>ep1108@example.com</t>
  </si>
  <si>
    <t>EP1109</t>
  </si>
  <si>
    <t>Employee 110</t>
  </si>
  <si>
    <t>ep1109@example.com</t>
  </si>
  <si>
    <t>EP1110</t>
  </si>
  <si>
    <t>Employee 111</t>
  </si>
  <si>
    <t>ep1110@example.com</t>
  </si>
  <si>
    <t>EP1111</t>
  </si>
  <si>
    <t>Employee 112</t>
  </si>
  <si>
    <t>ep1111@example.com</t>
  </si>
  <si>
    <t>EP1112</t>
  </si>
  <si>
    <t>Employee 113</t>
  </si>
  <si>
    <t>ep1112@example.com</t>
  </si>
  <si>
    <t>EP1113</t>
  </si>
  <si>
    <t>Employee 114</t>
  </si>
  <si>
    <t>ep1113@example.com</t>
  </si>
  <si>
    <t>EP1114</t>
  </si>
  <si>
    <t>Employee 115</t>
  </si>
  <si>
    <t>ep1114@example.com</t>
  </si>
  <si>
    <t>EP1115</t>
  </si>
  <si>
    <t>Employee 116</t>
  </si>
  <si>
    <t>ep1115@example.com</t>
  </si>
  <si>
    <t>EP1116</t>
  </si>
  <si>
    <t>Employee 117</t>
  </si>
  <si>
    <t>ep1116@example.com</t>
  </si>
  <si>
    <t>EP1117</t>
  </si>
  <si>
    <t>Employee 118</t>
  </si>
  <si>
    <t>ep1117@example.com</t>
  </si>
  <si>
    <t>EP1118</t>
  </si>
  <si>
    <t>Employee 119</t>
  </si>
  <si>
    <t>ep1118@example.com</t>
  </si>
  <si>
    <t>EP1119</t>
  </si>
  <si>
    <t>Employee 120</t>
  </si>
  <si>
    <t>ep1119@example.com</t>
  </si>
  <si>
    <t>Level_map</t>
  </si>
  <si>
    <t>BU</t>
  </si>
  <si>
    <t>Tech</t>
  </si>
  <si>
    <t>Ops</t>
  </si>
  <si>
    <t>Corp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</si>
</sst>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6">
    <font>
      <sz val="11.0"/>
      <color theme="1"/>
      <name val="Verdana"/>
      <scheme val="minor"/>
    </font>
    <font>
      <b/>
      <sz val="12.0"/>
      <color theme="1"/>
      <name val="Verdana"/>
    </font>
    <font>
      <sz val="12.0"/>
      <color theme="1"/>
      <name val="Verdana"/>
    </font>
    <font>
      <b/>
      <sz val="14.0"/>
      <color rgb="FF0E0E0E"/>
      <name val="Caveat"/>
    </font>
    <font>
      <sz val="14.0"/>
      <color theme="1"/>
      <name val="Caveat"/>
    </font>
    <font>
      <b/>
      <sz val="14.0"/>
      <color rgb="FFEA9999"/>
      <name val="Verdana"/>
    </font>
    <font/>
    <font>
      <b/>
      <sz val="14.0"/>
      <color rgb="FFDD7E6B"/>
      <name val="Verdana"/>
    </font>
    <font>
      <b/>
      <sz val="14.0"/>
      <color theme="1"/>
      <name val="Verdana"/>
    </font>
    <font>
      <b/>
      <sz val="14.0"/>
      <color rgb="FFC27BA0"/>
      <name val="Verdana"/>
    </font>
    <font>
      <b/>
      <sz val="14.0"/>
      <color rgb="FFFFD966"/>
      <name val="Verdana"/>
    </font>
    <font>
      <b/>
      <sz val="14.0"/>
      <color rgb="FFFFE599"/>
      <name val="Verdana"/>
    </font>
    <font>
      <b/>
      <sz val="14.0"/>
      <color rgb="FF6D9EEB"/>
      <name val="Verdana"/>
    </font>
    <font>
      <sz val="12.0"/>
      <color rgb="FF6D9EEB"/>
      <name val="Verdana"/>
    </font>
    <font>
      <sz val="12.0"/>
      <color rgb="FFC9DAF8"/>
      <name val="Verdana"/>
    </font>
    <font>
      <b/>
      <sz val="14.0"/>
      <color theme="1"/>
      <name val="Verdana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46">
    <border/>
    <border>
      <left style="thick">
        <color rgb="FFE6B8AF"/>
      </left>
      <top style="thick">
        <color rgb="FFE6B8AF"/>
      </top>
      <bottom style="thin">
        <color rgb="FF000000"/>
      </bottom>
    </border>
    <border>
      <right style="thick">
        <color rgb="FFE6B8AF"/>
      </right>
      <top style="thick">
        <color rgb="FFE6B8AF"/>
      </top>
      <bottom style="thin">
        <color rgb="FF000000"/>
      </bottom>
    </border>
    <border>
      <left style="thick">
        <color rgb="FFE06666"/>
      </left>
      <top style="thick">
        <color rgb="FFE06666"/>
      </top>
    </border>
    <border>
      <right style="thick">
        <color rgb="FFE06666"/>
      </right>
      <top style="thick">
        <color rgb="FFE06666"/>
      </top>
    </border>
    <border>
      <left style="thick">
        <color rgb="FFFFF2CC"/>
      </left>
      <top style="thick">
        <color rgb="FFFFF2CC"/>
      </top>
      <bottom style="thin">
        <color rgb="FF000000"/>
      </bottom>
    </border>
    <border>
      <top style="thick">
        <color rgb="FFFFF2CC"/>
      </top>
      <bottom style="thin">
        <color rgb="FF000000"/>
      </bottom>
    </border>
    <border>
      <right style="thick">
        <color rgb="FFFFF2CC"/>
      </right>
      <top style="thick">
        <color rgb="FFFFF2CC"/>
      </top>
      <bottom style="thin">
        <color rgb="FF000000"/>
      </bottom>
    </border>
    <border>
      <left style="thick">
        <color rgb="FFD0E0E3"/>
      </left>
      <top style="thick">
        <color rgb="FFD0E0E3"/>
      </top>
    </border>
    <border>
      <top style="thick">
        <color rgb="FFD0E0E3"/>
      </top>
    </border>
    <border>
      <right style="thick">
        <color rgb="FFD0E0E3"/>
      </right>
      <top style="thick">
        <color rgb="FFD0E0E3"/>
      </top>
    </border>
    <border>
      <left style="thick">
        <color rgb="FFE6B8A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E6B8AF"/>
      </right>
      <top style="thin">
        <color rgb="FF000000"/>
      </top>
      <bottom style="thin">
        <color rgb="FF000000"/>
      </bottom>
    </border>
    <border>
      <left style="thick">
        <color rgb="FFE06666"/>
      </left>
    </border>
    <border>
      <right style="thick">
        <color rgb="FFE06666"/>
      </right>
    </border>
    <border>
      <left style="thick">
        <color rgb="FFFFF2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F2CC"/>
      </right>
      <top style="thin">
        <color rgb="FF000000"/>
      </top>
      <bottom style="thin">
        <color rgb="FF000000"/>
      </bottom>
    </border>
    <border>
      <left style="thick">
        <color rgb="FFD0E0E3"/>
      </left>
    </border>
    <border>
      <right style="thick">
        <color rgb="FFD0E0E3"/>
      </right>
    </border>
    <border>
      <left style="thick">
        <color rgb="FFD0E0E3"/>
      </left>
      <bottom style="thick">
        <color rgb="FFD0E0E3"/>
      </bottom>
    </border>
    <border>
      <bottom style="thick">
        <color rgb="FFD0E0E3"/>
      </bottom>
    </border>
    <border>
      <right style="thick">
        <color rgb="FFD0E0E3"/>
      </right>
      <bottom style="thick">
        <color rgb="FFD0E0E3"/>
      </bottom>
    </border>
    <border>
      <left style="thick">
        <color rgb="FFE6B8AF"/>
      </left>
      <right style="thin">
        <color rgb="FF000000"/>
      </right>
      <top style="thin">
        <color rgb="FF000000"/>
      </top>
      <bottom style="thick">
        <color rgb="FFE6B8AF"/>
      </bottom>
    </border>
    <border>
      <left style="thin">
        <color rgb="FF000000"/>
      </left>
      <right style="thick">
        <color rgb="FFE6B8AF"/>
      </right>
      <top style="thin">
        <color rgb="FF000000"/>
      </top>
      <bottom style="thick">
        <color rgb="FFE6B8AF"/>
      </bottom>
    </border>
    <border>
      <left style="thick">
        <color rgb="FFFFF2CC"/>
      </left>
      <right style="thin">
        <color rgb="FF000000"/>
      </right>
      <top style="thin">
        <color rgb="FF000000"/>
      </top>
      <bottom style="thick">
        <color rgb="FFFFF2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F2CC"/>
      </bottom>
    </border>
    <border>
      <left style="thin">
        <color rgb="FF000000"/>
      </left>
      <right style="thick">
        <color rgb="FFFFF2CC"/>
      </right>
      <top style="thin">
        <color rgb="FF000000"/>
      </top>
      <bottom style="thick">
        <color rgb="FFFFF2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D9EAD3"/>
      </left>
      <top style="thick">
        <color rgb="FFD9EAD3"/>
      </top>
    </border>
    <border>
      <top style="thick">
        <color rgb="FFD9EAD3"/>
      </top>
    </border>
    <border>
      <right style="thick">
        <color rgb="FFD9EAD3"/>
      </right>
      <top style="thick">
        <color rgb="FFD9EAD3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D9EAD3"/>
      </left>
    </border>
    <border>
      <right style="thick">
        <color rgb="FFD9EAD3"/>
      </right>
    </border>
    <border>
      <left style="thick">
        <color rgb="FF5B0F00"/>
      </left>
      <top style="thick">
        <color rgb="FF5B0F00"/>
      </top>
    </border>
    <border>
      <right style="thick">
        <color rgb="FF5B0F00"/>
      </right>
      <top style="thick">
        <color rgb="FF5B0F00"/>
      </top>
    </border>
    <border>
      <left style="thick">
        <color rgb="FF5B0F00"/>
      </left>
      <bottom style="thick">
        <color rgb="FF5B0F00"/>
      </bottom>
    </border>
    <border>
      <right style="thick">
        <color rgb="FF5B0F00"/>
      </right>
      <bottom style="thick">
        <color rgb="FF5B0F00"/>
      </bottom>
    </border>
    <border>
      <left style="thick">
        <color rgb="FFE06666"/>
      </left>
      <bottom style="thick">
        <color rgb="FFE06666"/>
      </bottom>
    </border>
    <border>
      <right style="thick">
        <color rgb="FFE06666"/>
      </right>
      <bottom style="thick">
        <color rgb="FFE06666"/>
      </bottom>
    </border>
    <border>
      <left style="thick">
        <color rgb="FFD9EAD3"/>
      </left>
      <bottom style="thick">
        <color rgb="FFD9EAD3"/>
      </bottom>
    </border>
    <border>
      <bottom style="thick">
        <color rgb="FFD9EAD3"/>
      </bottom>
    </border>
    <border>
      <right style="thick">
        <color rgb="FFD9EAD3"/>
      </right>
      <bottom style="thick">
        <color rgb="FFD9EAD3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3" numFmtId="0" xfId="0" applyAlignment="1" applyFont="1">
      <alignment horizontal="center" readingOrder="0" vertical="center"/>
    </xf>
    <xf borderId="0" fillId="0" fontId="4" numFmtId="0" xfId="0" applyFont="1"/>
    <xf borderId="0" fillId="0" fontId="2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readingOrder="0" vertical="center"/>
    </xf>
    <xf borderId="2" fillId="0" fontId="6" numFmtId="0" xfId="0" applyBorder="1" applyFont="1"/>
    <xf borderId="3" fillId="0" fontId="7" numFmtId="0" xfId="0" applyAlignment="1" applyBorder="1" applyFont="1">
      <alignment horizontal="center" readingOrder="0" vertical="center"/>
    </xf>
    <xf borderId="4" fillId="0" fontId="6" numFmtId="0" xfId="0" applyBorder="1" applyFont="1"/>
    <xf borderId="5" fillId="0" fontId="8" numFmtId="0" xfId="0" applyAlignment="1" applyBorder="1" applyFont="1">
      <alignment horizontal="center" readingOrder="0" vertical="center"/>
    </xf>
    <xf borderId="6" fillId="0" fontId="6" numFmtId="0" xfId="0" applyBorder="1" applyFont="1"/>
    <xf borderId="7" fillId="0" fontId="6" numFmtId="0" xfId="0" applyBorder="1" applyFont="1"/>
    <xf borderId="8" fillId="0" fontId="9" numFmtId="0" xfId="0" applyAlignment="1" applyBorder="1" applyFont="1">
      <alignment horizontal="center" readingOrder="0" vertical="center"/>
    </xf>
    <xf borderId="9" fillId="0" fontId="6" numFmtId="0" xfId="0" applyBorder="1" applyFont="1"/>
    <xf borderId="10" fillId="0" fontId="6" numFmtId="0" xfId="0" applyBorder="1" applyFont="1"/>
    <xf borderId="11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16" fillId="0" fontId="11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center" vertical="center"/>
    </xf>
    <xf borderId="18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center" vertical="center"/>
    </xf>
    <xf borderId="26" fillId="0" fontId="2" numFmtId="0" xfId="0" applyAlignment="1" applyBorder="1" applyFont="1">
      <alignment horizontal="center" vertical="center"/>
    </xf>
    <xf borderId="27" fillId="0" fontId="2" numFmtId="0" xfId="0" applyAlignment="1" applyBorder="1" applyFont="1">
      <alignment horizontal="center" vertical="center"/>
    </xf>
    <xf borderId="28" fillId="0" fontId="8" numFmtId="0" xfId="0" applyAlignment="1" applyBorder="1" applyFont="1">
      <alignment horizontal="center" readingOrder="0" vertical="center"/>
    </xf>
    <xf borderId="29" fillId="0" fontId="6" numFmtId="0" xfId="0" applyBorder="1" applyFont="1"/>
    <xf borderId="30" fillId="0" fontId="1" numFmtId="0" xfId="0" applyAlignment="1" applyBorder="1" applyFont="1">
      <alignment horizontal="center" readingOrder="0" vertical="center"/>
    </xf>
    <xf borderId="31" fillId="0" fontId="12" numFmtId="0" xfId="0" applyAlignment="1" applyBorder="1" applyFont="1">
      <alignment horizontal="center" readingOrder="0" vertical="center"/>
    </xf>
    <xf borderId="32" fillId="0" fontId="6" numFmtId="0" xfId="0" applyBorder="1" applyFont="1"/>
    <xf borderId="32" fillId="0" fontId="13" numFmtId="0" xfId="0" applyAlignment="1" applyBorder="1" applyFont="1">
      <alignment horizontal="center" vertical="center"/>
    </xf>
    <xf borderId="32" fillId="0" fontId="12" numFmtId="0" xfId="0" applyAlignment="1" applyBorder="1" applyFont="1">
      <alignment horizontal="center" readingOrder="0" vertical="center"/>
    </xf>
    <xf borderId="32" fillId="0" fontId="14" numFmtId="0" xfId="0" applyAlignment="1" applyBorder="1" applyFont="1">
      <alignment horizontal="center" vertical="center"/>
    </xf>
    <xf borderId="33" fillId="0" fontId="6" numFmtId="0" xfId="0" applyBorder="1" applyFont="1"/>
    <xf borderId="0" fillId="0" fontId="8" numFmtId="0" xfId="0" applyAlignment="1" applyFont="1">
      <alignment horizontal="center" readingOrder="0" vertical="center"/>
    </xf>
    <xf borderId="34" fillId="0" fontId="6" numFmtId="0" xfId="0" applyBorder="1" applyFont="1"/>
    <xf borderId="35" fillId="0" fontId="8" numFmtId="0" xfId="0" applyAlignment="1" applyBorder="1" applyFont="1">
      <alignment horizontal="center" vertical="center"/>
    </xf>
    <xf borderId="0" fillId="0" fontId="15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36" fillId="0" fontId="8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6" fillId="0" fontId="2" numFmtId="0" xfId="0" applyAlignment="1" applyBorder="1" applyFont="1">
      <alignment horizontal="center" vertical="center"/>
    </xf>
    <xf borderId="37" fillId="0" fontId="8" numFmtId="0" xfId="0" applyAlignment="1" applyBorder="1" applyFont="1">
      <alignment horizontal="center" readingOrder="0" vertical="center"/>
    </xf>
    <xf borderId="38" fillId="0" fontId="6" numFmtId="0" xfId="0" applyBorder="1" applyFont="1"/>
    <xf borderId="39" fillId="0" fontId="2" numFmtId="10" xfId="0" applyAlignment="1" applyBorder="1" applyFont="1" applyNumberFormat="1">
      <alignment horizontal="center" vertical="center"/>
    </xf>
    <xf borderId="40" fillId="0" fontId="6" numFmtId="0" xfId="0" applyBorder="1" applyFont="1"/>
    <xf borderId="0" fillId="0" fontId="2" numFmtId="10" xfId="0" applyAlignment="1" applyFont="1" applyNumberFormat="1">
      <alignment horizontal="center" vertical="center"/>
    </xf>
    <xf borderId="41" fillId="0" fontId="2" numFmtId="0" xfId="0" applyAlignment="1" applyBorder="1" applyFont="1">
      <alignment horizontal="center" vertical="center"/>
    </xf>
    <xf borderId="42" fillId="0" fontId="2" numFmtId="0" xfId="0" applyAlignment="1" applyBorder="1" applyFont="1">
      <alignment horizontal="center" vertical="center"/>
    </xf>
    <xf borderId="43" fillId="0" fontId="2" numFmtId="0" xfId="0" applyAlignment="1" applyBorder="1" applyFont="1">
      <alignment horizontal="center" vertical="center"/>
    </xf>
    <xf borderId="44" fillId="0" fontId="2" numFmtId="0" xfId="0" applyAlignment="1" applyBorder="1" applyFont="1">
      <alignment horizontal="center" vertical="center"/>
    </xf>
    <xf borderId="45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16" fillId="0" fontId="1" numFmtId="0" xfId="0" applyAlignment="1" applyBorder="1" applyFont="1">
      <alignment horizontal="center" vertical="top"/>
    </xf>
    <xf borderId="0" fillId="0" fontId="2" numFmtId="164" xfId="0" applyFont="1" applyNumberFormat="1"/>
  </cellXfs>
  <cellStyles count="1">
    <cellStyle xfId="0" name="Normal" builtinId="0"/>
  </cellStyles>
  <dxfs count="2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color rgb="FFFF0000"/>
      </font>
      <fill>
        <patternFill patternType="solid">
          <fgColor theme="0"/>
          <bgColor theme="0"/>
        </patternFill>
      </fill>
      <border/>
    </dxf>
    <dxf>
      <font>
        <color rgb="FFC27BA0"/>
      </font>
      <fill>
        <patternFill patternType="solid">
          <fgColor theme="0"/>
          <bgColor theme="0"/>
        </patternFill>
      </fill>
      <border/>
    </dxf>
    <dxf>
      <font>
        <color rgb="FF8E7CC3"/>
      </font>
      <fill>
        <patternFill patternType="solid">
          <fgColor rgb="FFFFFFFF"/>
          <bgColor rgb="FFFFFFFF"/>
        </patternFill>
      </fill>
      <border/>
    </dxf>
    <dxf>
      <font>
        <color rgb="FF6FA8DC"/>
      </font>
      <fill>
        <patternFill patternType="solid">
          <fgColor rgb="FFFFFFFF"/>
          <bgColor rgb="FFFFFFFF"/>
        </patternFill>
      </fill>
      <border/>
    </dxf>
    <dxf>
      <font>
        <color rgb="FF6D9EEB"/>
      </font>
      <fill>
        <patternFill patternType="solid">
          <fgColor theme="0"/>
          <bgColor theme="0"/>
        </patternFill>
      </fill>
      <border/>
    </dxf>
    <dxf>
      <font>
        <color rgb="FF76A5AF"/>
      </font>
      <fill>
        <patternFill patternType="solid">
          <fgColor rgb="FFFFFFFF"/>
          <bgColor rgb="FFFFFFFF"/>
        </patternFill>
      </fill>
      <border/>
    </dxf>
    <dxf>
      <font>
        <color rgb="FF93C47D"/>
      </font>
      <fill>
        <patternFill patternType="solid">
          <fgColor rgb="FFFFFFFF"/>
          <bgColor rgb="FFFFFFFF"/>
        </patternFill>
      </fill>
      <border/>
    </dxf>
    <dxf>
      <font>
        <color rgb="FFFFD966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5" pivot="0" name="Working_Data-style">
      <tableStyleElement dxfId="18" type="headerRow"/>
      <tableStyleElement dxfId="19" type="firstRowStripe"/>
      <tableStyleElement dxfId="20" type="secondRowStripe"/>
      <tableStyleElement dxfId="21" type="totalRow"/>
      <tableStyleElement dxfId="22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Verdana"/>
              </a:defRPr>
            </a:pPr>
            <a:r>
              <a:rPr b="1" i="0" sz="1800">
                <a:solidFill>
                  <a:srgbClr val="000000"/>
                </a:solidFill>
                <a:latin typeface="Verdana"/>
              </a:rPr>
              <a:t>Headcount by Function &amp; Level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'Pivot Tables'!$N$3:$N$4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Tables'!$M$5:$M$13</c:f>
            </c:strRef>
          </c:cat>
          <c:val>
            <c:numRef>
              <c:f>'Pivot Tables'!$N$5:$N$13</c:f>
              <c:numCache/>
            </c:numRef>
          </c:val>
        </c:ser>
        <c:ser>
          <c:idx val="1"/>
          <c:order val="1"/>
          <c:tx>
            <c:strRef>
              <c:f>'Pivot Tables'!$O$3:$O$4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Tables'!$M$5:$M$13</c:f>
            </c:strRef>
          </c:cat>
          <c:val>
            <c:numRef>
              <c:f>'Pivot Tables'!$O$5:$O$13</c:f>
              <c:numCache/>
            </c:numRef>
          </c:val>
        </c:ser>
        <c:ser>
          <c:idx val="2"/>
          <c:order val="2"/>
          <c:tx>
            <c:strRef>
              <c:f>'Pivot Tables'!$P$3:$P$4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Tables'!$M$5:$M$13</c:f>
            </c:strRef>
          </c:cat>
          <c:val>
            <c:numRef>
              <c:f>'Pivot Tables'!$P$5:$P$13</c:f>
              <c:numCache/>
            </c:numRef>
          </c:val>
        </c:ser>
        <c:ser>
          <c:idx val="3"/>
          <c:order val="3"/>
          <c:tx>
            <c:strRef>
              <c:f>'Pivot Tables'!$Q$3:$Q$4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Tables'!$M$5:$M$13</c:f>
            </c:strRef>
          </c:cat>
          <c:val>
            <c:numRef>
              <c:f>'Pivot Tables'!$Q$5:$Q$13</c:f>
              <c:numCache/>
            </c:numRef>
          </c:val>
        </c:ser>
        <c:ser>
          <c:idx val="4"/>
          <c:order val="4"/>
          <c:tx>
            <c:strRef>
              <c:f>'Pivot Tables'!$R$3:$R$4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Tables'!$M$5:$M$13</c:f>
            </c:strRef>
          </c:cat>
          <c:val>
            <c:numRef>
              <c:f>'Pivot Tables'!$R$5:$R$13</c:f>
              <c:numCache/>
            </c:numRef>
          </c:val>
        </c:ser>
        <c:ser>
          <c:idx val="5"/>
          <c:order val="5"/>
          <c:tx>
            <c:strRef>
              <c:f>'Pivot Tables'!$S$3:$S$4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'Pivot Tables'!$M$5:$M$13</c:f>
            </c:strRef>
          </c:cat>
          <c:val>
            <c:numRef>
              <c:f>'Pivot Tables'!$S$5:$S$13</c:f>
              <c:numCache/>
            </c:numRef>
          </c:val>
        </c:ser>
        <c:ser>
          <c:idx val="6"/>
          <c:order val="6"/>
          <c:tx>
            <c:strRef>
              <c:f>'Pivot Tables'!$T$3:$T$4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Tables'!$M$5:$M$13</c:f>
            </c:strRef>
          </c:cat>
          <c:val>
            <c:numRef>
              <c:f>'Pivot Tables'!$T$5:$T$13</c:f>
              <c:numCache/>
            </c:numRef>
          </c:val>
        </c:ser>
        <c:ser>
          <c:idx val="7"/>
          <c:order val="7"/>
          <c:tx>
            <c:strRef>
              <c:f>'Pivot Tables'!$U$3:$U$4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Tables'!$M$5:$M$13</c:f>
            </c:strRef>
          </c:cat>
          <c:val>
            <c:numRef>
              <c:f>'Pivot Tables'!$U$5:$U$13</c:f>
              <c:numCache/>
            </c:numRef>
          </c:val>
        </c:ser>
        <c:ser>
          <c:idx val="8"/>
          <c:order val="8"/>
          <c:tx>
            <c:strRef>
              <c:f>'Pivot Tables'!$V$3:$V$4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'Pivot Tables'!$M$5:$M$13</c:f>
            </c:strRef>
          </c:cat>
          <c:val>
            <c:numRef>
              <c:f>'Pivot Tables'!$V$5:$V$13</c:f>
              <c:numCache/>
            </c:numRef>
          </c:val>
        </c:ser>
        <c:axId val="1007296686"/>
        <c:axId val="796128993"/>
      </c:bar3DChart>
      <c:catAx>
        <c:axId val="1007296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Verdana"/>
                  </a:defRPr>
                </a:pPr>
                <a:r>
                  <a:rPr b="0">
                    <a:solidFill>
                      <a:srgbClr val="1A1A1A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400">
                <a:solidFill>
                  <a:srgbClr val="1A1A1A"/>
                </a:solidFill>
                <a:latin typeface="Verdana"/>
              </a:defRPr>
            </a:pPr>
          </a:p>
        </c:txPr>
        <c:crossAx val="796128993"/>
      </c:catAx>
      <c:valAx>
        <c:axId val="796128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1A1A"/>
                    </a:solidFill>
                    <a:latin typeface="Verdana"/>
                  </a:defRPr>
                </a:pPr>
                <a:r>
                  <a:rPr b="0">
                    <a:solidFill>
                      <a:srgbClr val="1A1A1A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sz="1400">
                <a:solidFill>
                  <a:srgbClr val="1A1A1A"/>
                </a:solidFill>
                <a:latin typeface="Verdana"/>
              </a:defRPr>
            </a:pPr>
          </a:p>
        </c:txPr>
        <c:crossAx val="1007296686"/>
      </c:valAx>
    </c:plotArea>
    <c:legend>
      <c:legendPos val="t"/>
      <c:overlay val="0"/>
      <c:txPr>
        <a:bodyPr/>
        <a:lstStyle/>
        <a:p>
          <a:pPr lvl="0">
            <a:defRPr b="1" sz="1400">
              <a:solidFill>
                <a:srgbClr val="313131"/>
              </a:solidFill>
              <a:latin typeface="Verdana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Verdana"/>
              </a:defRPr>
            </a:pPr>
            <a:r>
              <a:rPr b="1" i="0" sz="1800">
                <a:solidFill>
                  <a:srgbClr val="000000"/>
                </a:solidFill>
                <a:latin typeface="Verdana"/>
              </a:rPr>
              <a:t>Attrition by Level Group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'Pivot Tables'!$R$18</c:f>
            </c:strRef>
          </c:tx>
          <c:dPt>
            <c:idx val="0"/>
            <c:spPr>
              <a:solidFill>
                <a:srgbClr val="1A9988"/>
              </a:solidFill>
            </c:spPr>
          </c:dPt>
          <c:dPt>
            <c:idx val="1"/>
            <c:spPr>
              <a:solidFill>
                <a:srgbClr val="2D729D"/>
              </a:solidFill>
            </c:spPr>
          </c:dPt>
          <c:dPt>
            <c:idx val="2"/>
            <c:spPr>
              <a:solidFill>
                <a:srgbClr val="1F3E78"/>
              </a:solidFill>
            </c:spPr>
          </c:dPt>
          <c:dPt>
            <c:idx val="3"/>
            <c:spPr>
              <a:solidFill>
                <a:srgbClr val="EB5600"/>
              </a:solidFill>
            </c:spPr>
          </c:dPt>
          <c:dPt>
            <c:idx val="4"/>
            <c:spPr>
              <a:solidFill>
                <a:srgbClr val="FF99AC"/>
              </a:solidFill>
            </c:spPr>
          </c:dPt>
          <c:dPt>
            <c:idx val="5"/>
            <c:spPr>
              <a:solidFill>
                <a:srgbClr val="FFD4B8"/>
              </a:solidFill>
            </c:spPr>
          </c:dPt>
          <c:dPt>
            <c:idx val="6"/>
            <c:spPr>
              <a:solidFill>
                <a:srgbClr val="5FB8AC"/>
              </a:solidFill>
            </c:spPr>
          </c:dPt>
          <c:dPt>
            <c:idx val="7"/>
            <c:spPr>
              <a:solidFill>
                <a:srgbClr val="6C9CBA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Tables'!$Q$19:$Q$26</c:f>
            </c:strRef>
          </c:cat>
          <c:val>
            <c:numRef>
              <c:f>'Pivot Tables'!$R$19:$R$26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t"/>
      <c:overlay val="0"/>
      <c:txPr>
        <a:bodyPr/>
        <a:lstStyle/>
        <a:p>
          <a:pPr lvl="0">
            <a:defRPr b="1" sz="1200">
              <a:solidFill>
                <a:srgbClr val="000000"/>
              </a:solidFill>
              <a:latin typeface="Verdana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image" Target="../media/Chart4.png"/><Relationship Id="rId5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</xdr:rowOff>
    </xdr:from>
    <xdr:ext cx="8601075" cy="3581400"/>
    <xdr:pic>
      <xdr:nvPicPr>
        <xdr:cNvPr id="54373433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942975</xdr:colOff>
      <xdr:row>2</xdr:row>
      <xdr:rowOff>9525</xdr:rowOff>
    </xdr:from>
    <xdr:ext cx="575310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0</xdr:colOff>
      <xdr:row>2</xdr:row>
      <xdr:rowOff>9525</xdr:rowOff>
    </xdr:from>
    <xdr:ext cx="5753100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0</xdr:rowOff>
    </xdr:from>
    <xdr:ext cx="2847975" cy="790575"/>
    <xdr:pic>
      <xdr:nvPicPr>
        <xdr:cNvPr id="48914196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2847975" cy="790575"/>
    <xdr:pic>
      <xdr:nvPicPr>
        <xdr:cNvPr id="1116705736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000" sheet="Working_Data"/>
  </cacheSource>
  <cacheFields>
    <cacheField name="Emp ID" numFmtId="0">
      <sharedItems containsBlank="1">
        <s v="EP1000"/>
        <s v="EP1001"/>
        <s v="EP1002"/>
        <s v="EP1003"/>
        <s v="EP1004"/>
        <s v="EP1005"/>
        <s v="EP1006"/>
        <s v="EP1007"/>
        <s v="EP1008"/>
        <s v="EP1009"/>
        <s v="EP1010"/>
        <s v="EP1011"/>
        <s v="EP1012"/>
        <s v="EP1013"/>
        <s v="EP1014"/>
        <s v="EP1015"/>
        <s v="EP1016"/>
        <s v="EP1017"/>
        <s v="EP1018"/>
        <s v="EP1019"/>
        <s v="EP1020"/>
        <s v="EP1021"/>
        <s v="EP1022"/>
        <s v="EP1023"/>
        <s v="EP1024"/>
        <s v="EP1025"/>
        <s v="EP1026"/>
        <s v="EP1027"/>
        <s v="EP1028"/>
        <s v="EP1029"/>
        <s v="EP1030"/>
        <s v="EP1031"/>
        <s v="EP1032"/>
        <s v="EP1033"/>
        <s v="EP1034"/>
        <s v="EP1035"/>
        <s v="EP1036"/>
        <s v="EP1037"/>
        <s v="EP1038"/>
        <s v="EP1039"/>
        <s v="EP1040"/>
        <s v="EP1041"/>
        <s v="EP1042"/>
        <s v="EP1043"/>
        <s v="EP1044"/>
        <s v="EP1045"/>
        <s v="EP1046"/>
        <s v="EP1047"/>
        <s v="EP1048"/>
        <s v="EP1049"/>
        <s v="EP1050"/>
        <s v="EP1051"/>
        <s v="EP1052"/>
        <s v="EP1053"/>
        <s v="EP1054"/>
        <s v="EP1055"/>
        <s v="EP1056"/>
        <s v="EP1057"/>
        <s v="EP1058"/>
        <s v="EP1059"/>
        <s v="EP1060"/>
        <s v="EP1061"/>
        <s v="EP1062"/>
        <s v="EP1063"/>
        <s v="EP1064"/>
        <s v="EP1065"/>
        <s v="EP1066"/>
        <s v="EP1067"/>
        <s v="EP1068"/>
        <s v="EP1069"/>
        <s v="EP1070"/>
        <s v="EP1071"/>
        <s v="EP1072"/>
        <s v="EP1073"/>
        <s v="EP1074"/>
        <s v="EP1075"/>
        <s v="EP1076"/>
        <s v="EP1077"/>
        <s v="EP1078"/>
        <s v="EP1079"/>
        <s v="EP1080"/>
        <s v="EP1081"/>
        <s v="EP1082"/>
        <s v="EP1083"/>
        <s v="EP1084"/>
        <s v="EP1085"/>
        <s v="EP1086"/>
        <s v="EP1087"/>
        <s v="EP1088"/>
        <s v="EP1089"/>
        <s v="EP1090"/>
        <s v="EP1091"/>
        <s v="EP1092"/>
        <s v="EP1093"/>
        <s v="EP1094"/>
        <s v="EP1095"/>
        <s v="EP1096"/>
        <s v="EP1097"/>
        <s v="EP1098"/>
        <s v="EP1099"/>
        <s v="EP1100"/>
        <s v="EP1101"/>
        <s v="EP1102"/>
        <s v="EP1103"/>
        <s v="EP1104"/>
        <s v="EP1105"/>
        <s v="EP1106"/>
        <s v="EP1107"/>
        <s v="EP1108"/>
        <s v="EP1109"/>
        <s v="EP1110"/>
        <s v="EP1111"/>
        <s v="EP1112"/>
        <s v="EP1113"/>
        <s v="EP1114"/>
        <s v="EP1115"/>
        <s v="EP1116"/>
        <s v="EP1117"/>
        <s v="EP1118"/>
        <s v="EP1119"/>
        <m/>
      </sharedItems>
    </cacheField>
    <cacheField name="Full name" numFmtId="0">
      <sharedItems containsBlank="1">
        <s v="Employee 1"/>
        <s v="Employee 2"/>
        <s v="Employee 3"/>
        <s v="Employee 4"/>
        <s v="Employee 5"/>
        <s v="Employee 6"/>
        <s v="Employee 7"/>
        <s v="Employee 8"/>
        <s v="Employee 9"/>
        <s v="Employee 10"/>
        <s v="Employee 11"/>
        <s v="Employee 12"/>
        <s v="Employee 13"/>
        <s v="Employee 14"/>
        <s v="Employee 15"/>
        <s v="Employee 16"/>
        <s v="Employee 17"/>
        <s v="Employee 18"/>
        <s v="Employee 19"/>
        <s v="Employee 20"/>
        <s v="Employee 21"/>
        <s v="Employee 22"/>
        <s v="Employee 23"/>
        <s v="Employee 24"/>
        <s v="Employee 25"/>
        <s v="Employee 26"/>
        <s v="Employee 27"/>
        <s v="Employee 28"/>
        <s v="Employee 29"/>
        <s v="Employee 30"/>
        <s v="Employee 31"/>
        <s v="Employee 32"/>
        <s v="Employee 33"/>
        <s v="Employee 34"/>
        <s v="Employee 35"/>
        <s v="Employee 36"/>
        <s v="Employee 37"/>
        <s v="Employee 38"/>
        <s v="Employee 39"/>
        <s v="Employee 40"/>
        <s v="Employee 41"/>
        <s v="Employee 42"/>
        <s v="Employee 43"/>
        <s v="Employee 44"/>
        <s v="Employee 45"/>
        <s v="Employee 46"/>
        <s v="Employee 47"/>
        <s v="Employee 48"/>
        <s v="Employee 49"/>
        <s v="Employee 50"/>
        <s v="Employee 51"/>
        <s v="Employee 52"/>
        <s v="Employee 53"/>
        <s v="Employee 54"/>
        <s v="Employee 55"/>
        <s v="Employee 56"/>
        <s v="Employee 57"/>
        <s v="Employee 58"/>
        <s v="Employee 59"/>
        <s v="Employee 60"/>
        <s v="Employee 61"/>
        <s v="Employee 62"/>
        <s v="Employee 63"/>
        <s v="Employee 64"/>
        <s v="Employee 65"/>
        <s v="Employee 66"/>
        <s v="Employee 67"/>
        <s v="Employee 68"/>
        <s v="Employee 69"/>
        <s v="Employee 70"/>
        <s v="Employee 71"/>
        <s v="Employee 72"/>
        <s v="Employee 73"/>
        <s v="Employee 74"/>
        <s v="Employee 75"/>
        <s v="Employee 76"/>
        <s v="Employee 77"/>
        <s v="Employee 78"/>
        <s v="Employee 79"/>
        <s v="Employee 80"/>
        <s v="Employee 81"/>
        <s v="Employee 82"/>
        <s v="Employee 83"/>
        <s v="Employee 84"/>
        <s v="Employee 85"/>
        <s v="Employee 86"/>
        <s v="Employee 87"/>
        <s v="Employee 88"/>
        <s v="Employee 89"/>
        <s v="Employee 90"/>
        <s v="Employee 91"/>
        <s v="Employee 92"/>
        <s v="Employee 93"/>
        <s v="Employee 94"/>
        <s v="Employee 95"/>
        <s v="Employee 96"/>
        <s v="Employee 97"/>
        <s v="Employee 98"/>
        <s v="Employee 99"/>
        <s v="Employee 100"/>
        <s v="Employee 101"/>
        <s v="Employee 102"/>
        <s v="Employee 103"/>
        <s v="Employee 104"/>
        <s v="Employee 105"/>
        <s v="Employee 106"/>
        <s v="Employee 107"/>
        <s v="Employee 108"/>
        <s v="Employee 109"/>
        <s v="Employee 110"/>
        <s v="Employee 111"/>
        <s v="Employee 112"/>
        <s v="Employee 113"/>
        <s v="Employee 114"/>
        <s v="Employee 115"/>
        <s v="Employee 116"/>
        <s v="Employee 117"/>
        <s v="Employee 118"/>
        <s v="Employee 119"/>
        <s v="Employee 120"/>
        <m/>
      </sharedItems>
    </cacheField>
    <cacheField name="Date of joining" numFmtId="164">
      <sharedItems containsDate="1" containsString="0" containsBlank="1">
        <d v="2025-08-02T00:00:00Z"/>
        <d v="2022-02-21T00:00:00Z"/>
        <d v="2023-07-18T00:00:00Z"/>
        <d v="2023-05-17T00:00:00Z"/>
        <d v="2022-10-13T00:00:00Z"/>
        <d v="2025-01-21T00:00:00Z"/>
        <d v="2022-06-28T00:00:00Z"/>
        <d v="2025-04-24T00:00:00Z"/>
        <d v="2024-05-14T00:00:00Z"/>
        <d v="2022-03-03T00:00:00Z"/>
        <d v="2022-07-11T00:00:00Z"/>
        <d v="2023-04-22T00:00:00Z"/>
        <d v="2024-10-31T00:00:00Z"/>
        <d v="2022-02-24T00:00:00Z"/>
        <d v="2023-02-12T00:00:00Z"/>
        <d v="2025-08-23T00:00:00Z"/>
        <d v="2024-05-09T00:00:00Z"/>
        <d v="2024-07-08T00:00:00Z"/>
        <d v="2025-04-21T00:00:00Z"/>
        <d v="2023-07-24T00:00:00Z"/>
        <d v="2022-01-14T00:00:00Z"/>
        <d v="2024-05-15T00:00:00Z"/>
        <d v="2023-11-28T00:00:00Z"/>
        <d v="2022-11-15T00:00:00Z"/>
        <d v="2023-03-17T00:00:00Z"/>
        <d v="2023-11-21T00:00:00Z"/>
        <d v="2022-07-29T00:00:00Z"/>
        <d v="2022-07-09T00:00:00Z"/>
        <d v="2024-02-18T00:00:00Z"/>
        <d v="2022-07-18T00:00:00Z"/>
        <d v="2024-01-06T00:00:00Z"/>
        <d v="2025-05-21T00:00:00Z"/>
        <d v="2022-03-30T00:00:00Z"/>
        <d v="2025-01-03T00:00:00Z"/>
        <d v="2024-02-15T00:00:00Z"/>
        <d v="2022-06-11T00:00:00Z"/>
        <d v="2025-02-04T00:00:00Z"/>
        <d v="2023-08-24T00:00:00Z"/>
        <d v="2025-06-20T00:00:00Z"/>
        <d v="2024-01-11T00:00:00Z"/>
        <d v="2025-03-28T00:00:00Z"/>
        <d v="2023-01-29T00:00:00Z"/>
        <d v="2022-05-23T00:00:00Z"/>
        <d v="2022-04-04T00:00:00Z"/>
        <d v="2025-09-16T00:00:00Z"/>
        <d v="2023-04-12T00:00:00Z"/>
        <d v="2023-08-16T00:00:00Z"/>
        <d v="2022-06-13T00:00:00Z"/>
        <d v="2024-07-17T00:00:00Z"/>
        <d v="2025-07-25T00:00:00Z"/>
        <d v="2024-01-18T00:00:00Z"/>
        <d v="2022-11-30T00:00:00Z"/>
        <d v="2024-01-29T00:00:00Z"/>
        <d v="2023-12-29T00:00:00Z"/>
        <d v="2023-07-01T00:00:00Z"/>
        <d v="2025-08-20T00:00:00Z"/>
        <d v="2022-05-27T00:00:00Z"/>
        <d v="2025-06-01T00:00:00Z"/>
        <d v="2025-07-24T00:00:00Z"/>
        <d v="2022-12-17T00:00:00Z"/>
        <d v="2024-12-29T00:00:00Z"/>
        <d v="2022-12-01T00:00:00Z"/>
        <d v="2024-08-04T00:00:00Z"/>
        <d v="2024-02-17T00:00:00Z"/>
        <d v="2025-08-03T00:00:00Z"/>
        <d v="2025-02-14T00:00:00Z"/>
        <d v="2023-03-26T00:00:00Z"/>
        <d v="2023-10-27T00:00:00Z"/>
        <d v="2022-04-25T00:00:00Z"/>
        <d v="2022-03-07T00:00:00Z"/>
        <d v="2024-04-01T00:00:00Z"/>
        <d v="2023-07-03T00:00:00Z"/>
        <d v="2023-03-09T00:00:00Z"/>
        <d v="2023-10-07T00:00:00Z"/>
        <d v="2023-03-12T00:00:00Z"/>
        <d v="2024-10-19T00:00:00Z"/>
        <d v="2024-03-21T00:00:00Z"/>
        <d v="2025-08-09T00:00:00Z"/>
        <d v="2024-07-28T00:00:00Z"/>
        <d v="2022-10-20T00:00:00Z"/>
        <d v="2023-06-27T00:00:00Z"/>
        <d v="2023-05-21T00:00:00Z"/>
        <d v="2025-02-23T00:00:00Z"/>
        <d v="2025-01-08T00:00:00Z"/>
        <d v="2025-04-12T00:00:00Z"/>
        <d v="2024-05-27T00:00:00Z"/>
        <d v="2025-04-10T00:00:00Z"/>
        <d v="2024-03-28T00:00:00Z"/>
        <d v="2024-01-12T00:00:00Z"/>
        <d v="2022-10-11T00:00:00Z"/>
        <d v="2024-11-09T00:00:00Z"/>
        <d v="2024-10-07T00:00:00Z"/>
        <d v="2022-07-06T00:00:00Z"/>
        <d v="2022-04-07T00:00:00Z"/>
        <d v="2022-08-13T00:00:00Z"/>
        <d v="2025-07-09T00:00:00Z"/>
        <d v="2022-11-24T00:00:00Z"/>
        <d v="2025-05-06T00:00:00Z"/>
        <d v="2024-02-28T00:00:00Z"/>
        <d v="2024-02-21T00:00:00Z"/>
        <d v="2025-05-05T00:00:00Z"/>
        <d v="2024-08-16T00:00:00Z"/>
        <d v="2024-12-19T00:00:00Z"/>
        <d v="2023-05-30T00:00:00Z"/>
        <d v="2025-02-07T00:00:00Z"/>
        <d v="2022-01-24T00:00:00Z"/>
        <d v="2022-08-23T00:00:00Z"/>
        <d v="2025-01-04T00:00:00Z"/>
        <d v="2025-08-05T00:00:00Z"/>
        <d v="2022-08-17T00:00:00Z"/>
        <d v="2023-08-25T00:00:00Z"/>
        <d v="2022-11-20T00:00:00Z"/>
        <m/>
      </sharedItems>
    </cacheField>
    <cacheField name="Email" numFmtId="0">
      <sharedItems containsBlank="1">
        <s v="ep1000@example.com"/>
        <s v="ep1001@example.com"/>
        <s v="ep1002@example.com"/>
        <s v="ep1003@example.com"/>
        <s v="ep1004@example.com"/>
        <s v="ep1005@example.com"/>
        <s v="ep1006@example.com"/>
        <s v="ep1007@example.com"/>
        <s v="ep1008@example.com"/>
        <s v="ep1009@example.com"/>
        <s v="ep1010@example.com"/>
        <s v="ep1011@example.com"/>
        <s v="ep1012@example.com"/>
        <s v="ep1013@example.com"/>
        <s v="ep1014@example.com"/>
        <s v="ep1015@example.com"/>
        <s v="ep1016@example.com"/>
        <s v="ep1017@example.com"/>
        <s v="ep1018@example.com"/>
        <s v="ep1019@example.com"/>
        <s v="ep1020@example.com"/>
        <s v="ep1021@example.com"/>
        <s v="ep1022@example.com"/>
        <s v="ep1023@example.com"/>
        <s v="ep1024@example.com"/>
        <s v="ep1025@example.com"/>
        <s v="ep1026@example.com"/>
        <s v="ep1027@example.com"/>
        <s v="ep1028@example.com"/>
        <s v="ep1029@example.com"/>
        <s v="ep1030@example.com"/>
        <s v="ep1031@example.com"/>
        <s v="ep1032@example.com"/>
        <s v="ep1033@example.com"/>
        <s v="ep1034@example.com"/>
        <s v="ep1035@example.com"/>
        <s v="ep1036@example.com"/>
        <s v="ep1037@example.com"/>
        <s v="ep1038@example.com"/>
        <s v="ep1039@example.com"/>
        <s v="ep1040@example.com"/>
        <s v="ep1041@example.com"/>
        <s v="ep1042@example.com"/>
        <s v="ep1043@example.com"/>
        <s v="ep1044@example.com"/>
        <s v="ep1045@example.com"/>
        <s v="ep1046@example.com"/>
        <s v="ep1047@example.com"/>
        <s v="ep1048@example.com"/>
        <s v="ep1049@example.com"/>
        <s v="ep1050@example.com"/>
        <s v="ep1051@example.com"/>
        <s v="ep1052@example.com"/>
        <s v="ep1053@example.com"/>
        <s v="ep1054@example.com"/>
        <s v="ep1055@example.com"/>
        <s v="ep1056@example.com"/>
        <s v="ep1057@example.com"/>
        <s v="ep1058@example.com"/>
        <s v="ep1059@example.com"/>
        <s v="ep1060@example.com"/>
        <s v="ep1061@example.com"/>
        <s v="ep1062@example.com"/>
        <s v="ep1063@example.com"/>
        <s v="ep1064@example.com"/>
        <s v="ep1065@example.com"/>
        <s v="ep1066@example.com"/>
        <s v="ep1067@example.com"/>
        <s v="ep1068@example.com"/>
        <s v="ep1069@example.com"/>
        <s v="ep1070@example.com"/>
        <s v="ep1071@example.com"/>
        <s v="ep1072@example.com"/>
        <s v="ep1073@example.com"/>
        <s v="ep1074@example.com"/>
        <s v="ep1075@example.com"/>
        <s v="ep1076@example.com"/>
        <s v="ep1077@example.com"/>
        <s v="ep1078@example.com"/>
        <s v="ep1079@example.com"/>
        <s v="ep1080@example.com"/>
        <s v="ep1081@example.com"/>
        <s v="ep1082@example.com"/>
        <s v="ep1083@example.com"/>
        <s v="ep1084@example.com"/>
        <s v="ep1085@example.com"/>
        <s v="ep1086@example.com"/>
        <s v="ep1087@example.com"/>
        <s v="ep1088@example.com"/>
        <s v="ep1089@example.com"/>
        <s v="ep1090@example.com"/>
        <s v="ep1091@example.com"/>
        <s v="ep1092@example.com"/>
        <s v="ep1093@example.com"/>
        <s v="ep1094@example.com"/>
        <s v="ep1095@example.com"/>
        <s v="ep1096@example.com"/>
        <s v="ep1097@example.com"/>
        <s v="ep1098@example.com"/>
        <s v="ep1099@example.com"/>
        <s v="ep1100@example.com"/>
        <s v="ep1101@example.com"/>
        <s v="ep1102@example.com"/>
        <s v="ep1103@example.com"/>
        <s v="ep1104@example.com"/>
        <s v="ep1105@example.com"/>
        <s v="ep1106@example.com"/>
        <s v="ep1107@example.com"/>
        <s v="ep1108@example.com"/>
        <s v="ep1109@example.com"/>
        <s v="ep1110@example.com"/>
        <s v="ep1111@example.com"/>
        <s v="ep1112@example.com"/>
        <s v="ep1113@example.com"/>
        <s v="ep1114@example.com"/>
        <s v="ep1115@example.com"/>
        <s v="ep1116@example.com"/>
        <s v="ep1117@example.com"/>
        <s v="ep1118@example.com"/>
        <s v="ep1119@example.com"/>
        <m/>
      </sharedItems>
    </cacheField>
    <cacheField name="Gender" numFmtId="0">
      <sharedItems containsBlank="1">
        <s v="Male"/>
        <s v="Female"/>
        <s v="Other"/>
        <m/>
      </sharedItems>
    </cacheField>
    <cacheField name="Emp type" numFmtId="0">
      <sharedItems containsBlank="1">
        <s v="Contractor"/>
        <s v="Permanent"/>
        <s v="Intern"/>
        <s v="Consultant"/>
        <m/>
      </sharedItems>
    </cacheField>
    <cacheField name="Emp status" numFmtId="0">
      <sharedItems containsBlank="1">
        <s v="Relieved"/>
        <s v="Working"/>
        <m/>
      </sharedItems>
    </cacheField>
    <cacheField name="Designation" numFmtId="0">
      <sharedItems containsBlank="1">
        <s v="Senior Analyst"/>
        <s v="Senior Director"/>
        <s v="Associate"/>
        <s v="Senior Associate"/>
        <s v="Director"/>
        <s v="Analyst"/>
        <s v="Manager"/>
        <s v="Senior Manager"/>
        <m/>
      </sharedItems>
    </cacheField>
    <cacheField name="Function" numFmtId="0">
      <sharedItems containsBlank="1">
        <s v="Finance"/>
        <s v="Product"/>
        <s v="Risk"/>
        <s v="Data"/>
        <s v="CX"/>
        <s v="HR"/>
        <s v="Engineering"/>
        <s v="Marketing"/>
        <m/>
      </sharedItems>
    </cacheField>
    <cacheField name="Team" numFmtId="0">
      <sharedItems containsBlank="1">
        <s v="Ops Excellence"/>
        <s v="Wealth"/>
        <s v="Lending"/>
        <s v="Banking"/>
        <s v="Cards"/>
        <s v="Growth"/>
        <m/>
      </sharedItems>
    </cacheField>
    <cacheField name="Department" numFmtId="0">
      <sharedItems containsBlank="1">
        <s v="FP&amp;A"/>
        <s v="Payroll"/>
        <s v="Design"/>
        <s v="Collections"/>
        <s v="Data Eng"/>
        <s v="Training"/>
        <s v="Quality"/>
        <s v="Talent Acquisition"/>
        <s v="Product Mgmt"/>
        <s v="Platform"/>
        <s v="People Ops"/>
        <s v="L&amp;D"/>
        <s v="Research"/>
        <s v="QA"/>
        <s v="Accounting"/>
        <s v="Data Science"/>
        <s v="Support"/>
        <s v="Performance"/>
        <s v="Frontend"/>
        <s v="Content"/>
        <s v="Underwriting"/>
        <s v="Backend"/>
        <s v="Analytics"/>
        <m/>
      </sharedItems>
    </cacheField>
    <cacheField name="Sub department" numFmtId="0">
      <sharedItems containsString="0" containsBlank="1">
        <m/>
      </sharedItems>
    </cacheField>
    <cacheField name="Reporting manager" numFmtId="0">
      <sharedItems containsBlank="1">
        <s v="Mgr 11"/>
        <s v="Mgr 6"/>
        <s v="Mgr 10"/>
        <s v="Mgr 19"/>
        <s v="Mgr 2"/>
        <s v="Mgr 8"/>
        <s v="Mgr 16"/>
        <s v="Mgr 7"/>
        <s v="Mgr 1"/>
        <s v="Mgr 5"/>
        <s v="Mgr 13"/>
        <s v="Mgr 12"/>
        <s v="Mgr 3"/>
        <s v="Mgr 18"/>
        <s v="Mgr 17"/>
        <s v="Mgr 15"/>
        <s v="Mgr 4"/>
        <s v="Mgr 9"/>
        <s v="Mgr 14"/>
        <m/>
      </sharedItems>
    </cacheField>
    <cacheField name="Lead POC" numFmtId="0">
      <sharedItems containsBlank="1">
        <s v="Lead 11"/>
        <s v="Lead 2"/>
        <s v="Lead 16"/>
        <s v="Lead 7"/>
        <s v="Lead 20"/>
        <s v="Lead 4"/>
        <s v="Lead 10"/>
        <s v="Lead 13"/>
        <s v="Lead 9"/>
        <s v="Lead 5"/>
        <s v="Lead 3"/>
        <s v="Lead 23"/>
        <s v="Lead 17"/>
        <s v="Lead 12"/>
        <s v="Lead 1"/>
        <s v="Lead 24"/>
        <s v="Lead 19"/>
        <s v="Lead 21"/>
        <s v="Lead 22"/>
        <s v="Lead 18"/>
        <s v="Lead 8"/>
        <s v="Lead 15"/>
        <s v="Lead 6"/>
        <s v="Lead 14"/>
        <m/>
      </sharedItems>
    </cacheField>
    <cacheField name="Exit date" numFmtId="164">
      <sharedItems containsDate="1" containsString="0" containsBlank="1">
        <d v="2025-09-08T00:00:00Z"/>
        <m/>
        <d v="2024-01-30T00:00:00Z"/>
        <d v="2023-06-09T00:00:00Z"/>
        <d v="2024-06-29T00:00:00Z"/>
        <d v="2023-10-31T00:00:00Z"/>
        <d v="2025-10-04T00:00:00Z"/>
        <d v="2025-05-18T00:00:00Z"/>
        <d v="2024-09-28T00:00:00Z"/>
        <d v="2023-01-05T00:00:00Z"/>
        <d v="2025-01-22T00:00:00Z"/>
        <d v="2025-07-23T00:00:00Z"/>
        <d v="2024-11-24T00:00:00Z"/>
        <d v="2025-04-06T00:00:00Z"/>
        <d v="2025-06-27T00:00:00Z"/>
        <d v="2023-09-02T00:00:00Z"/>
        <d v="2024-08-29T00:00:00Z"/>
        <d v="2025-06-02T00:00:00Z"/>
        <d v="2024-12-19T00:00:00Z"/>
        <d v="2025-10-16T00:00:00Z"/>
        <d v="2025-03-26T00:00:00Z"/>
        <d v="2023-09-06T00:00:00Z"/>
        <d v="2024-01-12T00:00:00Z"/>
        <d v="2023-10-08T00:00:00Z"/>
        <d v="2024-11-08T00:00:00Z"/>
        <d v="2025-02-10T00:00:00Z"/>
        <d v="2023-12-16T00:00:00Z"/>
        <d v="2025-04-15T00:00:00Z"/>
        <d v="2025-09-28T00:00:00Z"/>
        <d v="2023-07-22T00:00:00Z"/>
        <d v="2025-05-06T00:00:00Z"/>
        <d v="2025-06-21T00:00:00Z"/>
        <d v="2025-09-25T00:00:00Z"/>
        <d v="2024-12-12T00:00:00Z"/>
      </sharedItems>
    </cacheField>
    <cacheField name="Joining month" numFmtId="0">
      <sharedItems containsBlank="1">
        <s v="Aug 2025"/>
        <s v="Feb 2022"/>
        <s v="Jul 2023"/>
        <s v="May 2023"/>
        <s v="Oct 2022"/>
        <s v="Jan 2025"/>
        <s v="Jun 2022"/>
        <s v="Apr 2025"/>
        <s v="May 2024"/>
        <s v="Mar 2022"/>
        <s v="Jul 2022"/>
        <s v="Apr 2023"/>
        <s v="Oct 2024"/>
        <s v="Feb 2023"/>
        <s v="Jul 2024"/>
        <s v="Jan 2022"/>
        <s v="Nov 2023"/>
        <s v="Nov 2022"/>
        <s v="Mar 2023"/>
        <s v="Feb 2024"/>
        <s v="Jan 2024"/>
        <s v="May 2025"/>
        <s v="Feb 2025"/>
        <s v="Aug 2023"/>
        <s v="Jun 2025"/>
        <s v="Mar 2025"/>
        <s v="Jan 2023"/>
        <s v="May 2022"/>
        <s v="Apr 2022"/>
        <s v="Sep 2025"/>
        <s v="Jul 2025"/>
        <s v="Dec 2023"/>
        <s v="Dec 2022"/>
        <s v="Dec 2024"/>
        <s v="Aug 2024"/>
        <s v="Oct 2023"/>
        <s v="Apr 2024"/>
        <s v="Mar 2024"/>
        <s v="Jun 2023"/>
        <s v="Nov 2024"/>
        <s v="Aug 2022"/>
        <m/>
      </sharedItems>
    </cacheField>
    <cacheField name="Exit month" numFmtId="0">
      <sharedItems containsBlank="1">
        <s v="Sep 2025"/>
        <m/>
        <s v="Jan 2024"/>
        <s v="Jun 2023"/>
        <s v="Jun 2024"/>
        <s v="Oct 2023"/>
        <s v="Oct 2025"/>
        <s v="May 2025"/>
        <s v="Sep 2024"/>
        <s v="Jan 2023"/>
        <s v="Jan 2025"/>
        <s v="Jul 2025"/>
        <s v="Nov 2024"/>
        <s v="Apr 2025"/>
        <s v="Jun 2025"/>
        <s v="Sep 2023"/>
        <s v="Aug 2024"/>
        <s v="Dec 2024"/>
        <s v="Mar 2025"/>
        <s v="Feb 2025"/>
        <s v="Dec 2023"/>
        <s v="Jul 2023"/>
      </sharedItems>
    </cacheField>
    <cacheField name="Tenure bracket" numFmtId="0">
      <sharedItems containsBlank="1">
        <s v="&lt;1 year"/>
        <s v="2–4 years"/>
        <s v="1–2 years"/>
        <m/>
      </sharedItems>
    </cacheField>
    <cacheField name="Level_Group" numFmtId="0">
      <sharedItems containsBlank="1">
        <s v="L2"/>
        <s v="L8"/>
        <s v="L3"/>
        <s v="L4"/>
        <s v="L7"/>
        <s v="L1"/>
        <s v="L5"/>
        <s v="L6"/>
        <m/>
      </sharedItems>
    </cacheField>
    <cacheField name="Business_unit" numFmtId="0">
      <sharedItems containsBlank="1">
        <s v="Corp"/>
        <s v="Tech"/>
        <s v="Risk"/>
        <s v="Ops"/>
        <s v="Growth"/>
        <m/>
      </sharedItems>
    </cacheField>
    <cacheField name="Status_Flag" numFmtId="0">
      <sharedItems containsBlank="1">
        <s v="Exited"/>
        <s v="Active"/>
        <m/>
      </sharedItems>
    </cacheField>
    <cacheField name="Join_Quarter" numFmtId="0">
      <sharedItems containsBlank="1">
        <s v="Q3 2025"/>
        <s v="Q1 2022"/>
        <s v="Q3 2023"/>
        <s v="Q2 2023"/>
        <s v="Q4 2022"/>
        <s v="Q1 2025"/>
        <s v="Q2 2022"/>
        <s v="Q2 2025"/>
        <s v="Q2 2024"/>
        <s v="Q3 2022"/>
        <s v="Q4 2024"/>
        <s v="Q1 2023"/>
        <s v="Q3 2024"/>
        <s v="Q4 2023"/>
        <s v="Q1 2024"/>
        <m/>
      </sharedItems>
    </cacheField>
    <cacheField name="Exit_Quarter" numFmtId="0">
      <sharedItems containsBlank="1">
        <s v=""/>
        <m/>
        <s v="Q1 2024"/>
        <s v="Q2 2023"/>
        <s v="Q2 2024"/>
        <s v="Q4 2023"/>
        <s v="Q4 2025"/>
        <s v="Q2 2025"/>
        <s v="Q3 2024"/>
        <s v="Q1 2023"/>
        <s v="Q1 2025"/>
        <s v="Q3 2025"/>
        <s v="Q4 2024"/>
        <s v="Q3 2023"/>
      </sharedItems>
    </cacheField>
    <cacheField name="Join_Year" numFmtId="0">
      <sharedItems containsString="0" containsBlank="1" containsNumber="1" containsInteger="1">
        <n v="2025.0"/>
        <n v="2022.0"/>
        <n v="2023.0"/>
        <n v="2024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s" cacheId="0" dataCaption="" compact="0" compactData="0">
  <location ref="A3:B14" firstHeaderRow="0" firstDataRow="1" firstDataCol="0" rowPageCount="1" colPageCount="1"/>
  <pivotFields>
    <pivotField name="Em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Date of join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Emp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 status" compact="0" outline="0" multipleItemSelectionAllowed="1" showAll="0">
      <items>
        <item x="0"/>
        <item x="1"/>
        <item x="2"/>
        <item t="default"/>
      </items>
    </pivotField>
    <pivotField name="Desig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un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ub department" compact="0" outline="0" multipleItemSelectionAllowed="1" showAll="0">
      <items>
        <item x="0"/>
        <item t="default"/>
      </items>
    </pivotField>
    <pivotField name="Reporting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ead P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Ex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Joining month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Exit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enure bracket" compact="0" outline="0" multipleItemSelectionAllowed="1" showAll="0">
      <items>
        <item x="0"/>
        <item x="1"/>
        <item x="2"/>
        <item x="3"/>
        <item t="default"/>
      </items>
    </pivotField>
    <pivotField name="Level_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usiness_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us_Flag" compact="0" outline="0" multipleItemSelectionAllowed="1" showAll="0">
      <items>
        <item x="0"/>
        <item x="1"/>
        <item x="2"/>
        <item t="default"/>
      </items>
    </pivotField>
    <pivotField name="Join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xit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oin_Year" axis="axisPage" compact="0" outline="0" multipleItemSelectionAllowed="1" showAll="0">
      <items>
        <item h="1" x="0"/>
        <item h="1" x="1"/>
        <item h="1" x="2"/>
        <item x="3"/>
        <item h="1" x="4"/>
        <item t="default"/>
      </items>
    </pivotField>
  </pivotFields>
  <rowFields>
    <field x="15"/>
  </rowFields>
  <pageFields>
    <pageField fld="23"/>
  </pageFields>
  <dataFields>
    <dataField name="COUNTA of Emp ID" fld="0" subtotal="count" baseField="0"/>
  </dataFields>
</pivotTableDefinition>
</file>

<file path=xl/pivotTables/pivotTable2.xml><?xml version="1.0" encoding="utf-8"?>
<pivotTableDefinition xmlns="http://schemas.openxmlformats.org/spreadsheetml/2006/main" name="Pivot Tables 2" cacheId="0" dataCaption="" compact="0" compactData="0">
  <location ref="D3:E25" firstHeaderRow="0" firstDataRow="1" firstDataCol="0" rowPageCount="1" colPageCount="1"/>
  <pivotFields>
    <pivotField name="Em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Date of join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Emp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 status" compact="0" outline="0" multipleItemSelectionAllowed="1" showAll="0">
      <items>
        <item x="0"/>
        <item x="1"/>
        <item x="2"/>
        <item t="default"/>
      </items>
    </pivotField>
    <pivotField name="Desig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un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ub department" compact="0" outline="0" multipleItemSelectionAllowed="1" showAll="0">
      <items>
        <item x="0"/>
        <item t="default"/>
      </items>
    </pivotField>
    <pivotField name="Reporting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ead P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Ex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Joining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xit month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enure bracket" compact="0" outline="0" multipleItemSelectionAllowed="1" showAll="0">
      <items>
        <item x="0"/>
        <item x="1"/>
        <item x="2"/>
        <item x="3"/>
        <item t="default"/>
      </items>
    </pivotField>
    <pivotField name="Level_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usiness_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us_Flag" axis="axisPage" compact="0" outline="0" multipleItemSelectionAllowed="1" showAll="0">
      <items>
        <item x="0"/>
        <item h="1" x="1"/>
        <item h="1" x="2"/>
        <item t="default"/>
      </items>
    </pivotField>
    <pivotField name="Join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xit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oin_Year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6"/>
  </rowFields>
  <pageFields>
    <pageField fld="20"/>
  </pageFields>
  <dataFields>
    <dataField name="COUNTA of Emp ID" fld="0" subtotal="count" baseField="0"/>
  </dataFields>
</pivotTableDefinition>
</file>

<file path=xl/pivotTables/pivotTable3.xml><?xml version="1.0" encoding="utf-8"?>
<pivotTableDefinition xmlns="http://schemas.openxmlformats.org/spreadsheetml/2006/main" name="Pivot Tables 3" cacheId="0" dataCaption="" compact="0" compactData="0">
  <location ref="G3:H14" firstHeaderRow="0" firstDataRow="1" firstDataCol="0" rowPageCount="1" colPageCount="1"/>
  <pivotFields>
    <pivotField name="Em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Date of join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Emp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 status" compact="0" outline="0" multipleItemSelectionAllowed="1" showAll="0">
      <items>
        <item x="0"/>
        <item x="1"/>
        <item x="2"/>
        <item t="default"/>
      </items>
    </pivotField>
    <pivotField name="Desig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un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ub department" compact="0" outline="0" multipleItemSelectionAllowed="1" showAll="0">
      <items>
        <item x="0"/>
        <item t="default"/>
      </items>
    </pivotField>
    <pivotField name="Reporting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ead P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Ex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Joining month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Exit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enure bracket" compact="0" outline="0" multipleItemSelectionAllowed="1" showAll="0">
      <items>
        <item x="0"/>
        <item x="1"/>
        <item x="2"/>
        <item x="3"/>
        <item t="default"/>
      </items>
    </pivotField>
    <pivotField name="Level_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usiness_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us_Flag" compact="0" outline="0" multipleItemSelectionAllowed="1" showAll="0">
      <items>
        <item x="0"/>
        <item x="1"/>
        <item x="2"/>
        <item t="default"/>
      </items>
    </pivotField>
    <pivotField name="Join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xit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oin_Year" axis="axisPage" compact="0" outline="0" multipleItemSelectionAllowed="1" showAll="0">
      <items>
        <item h="1" x="0"/>
        <item h="1" x="1"/>
        <item h="1" x="2"/>
        <item x="3"/>
        <item h="1" x="4"/>
        <item t="default"/>
      </items>
    </pivotField>
  </pivotFields>
  <rowFields>
    <field x="15"/>
  </rowFields>
  <pageFields>
    <pageField fld="23"/>
  </pageFields>
  <dataFields>
    <dataField name="COUNTA of Emp ID" fld="0" subtotal="count" baseField="0"/>
  </dataFields>
</pivotTableDefinition>
</file>

<file path=xl/pivotTables/pivotTable4.xml><?xml version="1.0" encoding="utf-8"?>
<pivotTableDefinition xmlns="http://schemas.openxmlformats.org/spreadsheetml/2006/main" name="Pivot Tables 4" cacheId="0" dataCaption="" compact="0" compactData="0">
  <location ref="J6:K13" firstHeaderRow="0" firstDataRow="1" firstDataCol="0" rowPageCount="2" colPageCount="1"/>
  <pivotFields>
    <pivotField name="Em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Date of join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Emp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 status" compact="0" outline="0" multipleItemSelectionAllowed="1" showAll="0">
      <items>
        <item x="0"/>
        <item x="1"/>
        <item x="2"/>
        <item t="default"/>
      </items>
    </pivotField>
    <pivotField name="Desig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un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ub department" compact="0" outline="0" multipleItemSelectionAllowed="1" showAll="0">
      <items>
        <item x="0"/>
        <item t="default"/>
      </items>
    </pivotField>
    <pivotField name="Reporting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ead P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Exit date" axis="axisPage" compact="0" numFmtId="164" outline="0" multipleItemSelectionAllowed="1" showAll="0">
      <items>
        <item h="1" x="0"/>
        <item h="1" x="1"/>
        <item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h="1" x="17"/>
        <item x="18"/>
        <item h="1" x="19"/>
        <item h="1" x="20"/>
        <item h="1" x="21"/>
        <item x="22"/>
        <item h="1" x="23"/>
        <item x="24"/>
        <item h="1" x="25"/>
        <item h="1" x="26"/>
        <item h="1" x="27"/>
        <item h="1" x="28"/>
        <item h="1" x="29"/>
        <item h="1" x="30"/>
        <item h="1" x="31"/>
        <item h="1" x="32"/>
        <item x="33"/>
        <item t="default"/>
      </items>
    </pivotField>
    <pivotField name="Joining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xit month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enure bracket" compact="0" outline="0" multipleItemSelectionAllowed="1" showAll="0">
      <items>
        <item x="0"/>
        <item x="1"/>
        <item x="2"/>
        <item x="3"/>
        <item t="default"/>
      </items>
    </pivotField>
    <pivotField name="Level_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usiness_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us_Flag" axis="axisPage" compact="0" outline="0" multipleItemSelectionAllowed="1" showAll="0">
      <items>
        <item x="0"/>
        <item h="1" x="1"/>
        <item h="1" x="2"/>
        <item t="default"/>
      </items>
    </pivotField>
    <pivotField name="Join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xit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oin_Year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6"/>
  </rowFields>
  <pageFields>
    <pageField fld="20"/>
    <pageField fld="14"/>
  </pageFields>
  <dataFields>
    <dataField name="COUNTA of Emp ID" fld="0" subtotal="count" baseField="0"/>
  </dataFields>
</pivotTableDefinition>
</file>

<file path=xl/pivotTables/pivotTable5.xml><?xml version="1.0" encoding="utf-8"?>
<pivotTableDefinition xmlns="http://schemas.openxmlformats.org/spreadsheetml/2006/main" name="Pivot Tables 5" cacheId="0" dataCaption="" compact="0" compactData="0">
  <location ref="M3:V13" firstHeaderRow="0" firstDataRow="1" firstDataCol="1" rowPageCount="1" colPageCount="1"/>
  <pivotFields>
    <pivotField name="Em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Date of join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Emp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 status" compact="0" outline="0" multipleItemSelectionAllowed="1" showAll="0">
      <items>
        <item x="0"/>
        <item x="1"/>
        <item x="2"/>
        <item t="default"/>
      </items>
    </pivotField>
    <pivotField name="Desig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unction" axis="axisCol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ub department" compact="0" outline="0" multipleItemSelectionAllowed="1" showAll="0">
      <items>
        <item x="0"/>
        <item t="default"/>
      </items>
    </pivotField>
    <pivotField name="Reporting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ead P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Ex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Joining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xit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enure bracket" compact="0" outline="0" multipleItemSelectionAllowed="1" showAll="0">
      <items>
        <item x="0"/>
        <item x="1"/>
        <item x="2"/>
        <item x="3"/>
        <item t="default"/>
      </items>
    </pivotField>
    <pivotField name="Level_Group" axis="axisRow" compact="0" outline="0" multipleItemSelectionAllowed="1" showAll="0" sortType="ascending">
      <items>
        <item x="8"/>
        <item x="5"/>
        <item x="0"/>
        <item x="2"/>
        <item x="3"/>
        <item x="6"/>
        <item x="7"/>
        <item x="4"/>
        <item x="1"/>
        <item t="default"/>
      </items>
    </pivotField>
    <pivotField name="Business_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us_Flag" axis="axisPage" compact="0" outline="0" multipleItemSelectionAllowed="1" showAll="0">
      <items>
        <item h="1" x="0"/>
        <item x="1"/>
        <item h="1" x="2"/>
        <item t="default"/>
      </items>
    </pivotField>
    <pivotField name="Join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xit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oin_Year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8"/>
  </rowFields>
  <colFields>
    <field x="8"/>
  </colFields>
  <pageFields>
    <pageField fld="20"/>
  </pageFields>
  <dataFields>
    <dataField name="COUNTA of Emp ID" fld="0" subtotal="count" baseField="0"/>
  </dataFields>
</pivotTableDefinition>
</file>

<file path=xl/pivotTables/pivotTable6.xml><?xml version="1.0" encoding="utf-8"?>
<pivotTableDefinition xmlns="http://schemas.openxmlformats.org/spreadsheetml/2006/main" name="Pivot Tables 6" cacheId="0" dataCaption="" compact="0" compactData="0">
  <location ref="B20:B21" firstHeaderRow="0" firstDataRow="0" firstDataCol="0" rowPageCount="2" colPageCount="1"/>
  <pivotFields>
    <pivotField name="Em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Date of join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Emp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 status" compact="0" outline="0" multipleItemSelectionAllowed="1" showAll="0">
      <items>
        <item x="0"/>
        <item x="1"/>
        <item x="2"/>
        <item t="default"/>
      </items>
    </pivotField>
    <pivotField name="Desig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un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ub department" compact="0" outline="0" multipleItemSelectionAllowed="1" showAll="0">
      <items>
        <item x="0"/>
        <item t="default"/>
      </items>
    </pivotField>
    <pivotField name="Reporting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ead P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Ex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Joining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xit month" axis="axisPage" compact="0" outline="0" multipleItemSelectionAllowed="1" showAll="0">
      <items>
        <item h="1" x="0"/>
        <item h="1" x="1"/>
        <item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x="17"/>
        <item h="1" x="18"/>
        <item h="1" x="19"/>
        <item h="1" x="20"/>
        <item h="1" x="21"/>
        <item t="default"/>
      </items>
    </pivotField>
    <pivotField name="Tenure bracket" compact="0" outline="0" multipleItemSelectionAllowed="1" showAll="0">
      <items>
        <item x="0"/>
        <item x="1"/>
        <item x="2"/>
        <item x="3"/>
        <item t="default"/>
      </items>
    </pivotField>
    <pivotField name="Level_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usiness_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us_Flag" axis="axisPage" compact="0" outline="0" multipleItemSelectionAllowed="1" showAll="0">
      <items>
        <item x="0"/>
        <item h="1" x="1"/>
        <item h="1" x="2"/>
        <item t="default"/>
      </items>
    </pivotField>
    <pivotField name="Join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xit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oin_Year" compact="0" outline="0" multipleItemSelectionAllowed="1" showAll="0">
      <items>
        <item x="0"/>
        <item x="1"/>
        <item x="2"/>
        <item x="3"/>
        <item x="4"/>
        <item t="default"/>
      </items>
    </pivotField>
  </pivotFields>
  <pageFields>
    <pageField fld="20"/>
    <pageField fld="16"/>
  </pageFields>
  <dataFields>
    <dataField name="COUNTA of Emp ID" fld="0" subtotal="count" baseField="0"/>
  </dataFields>
</pivotTableDefinition>
</file>

<file path=xl/pivotTables/pivotTable7.xml><?xml version="1.0" encoding="utf-8"?>
<pivotTableDefinition xmlns="http://schemas.openxmlformats.org/spreadsheetml/2006/main" name="Pivot Tables 7" cacheId="0" dataCaption="" compact="0" compactData="0">
  <location ref="G18:H26" firstHeaderRow="0" firstDataRow="1" firstDataCol="0" rowPageCount="2" colPageCount="1"/>
  <pivotFields>
    <pivotField name="Em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Date of join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Emp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 status" compact="0" outline="0" multipleItemSelectionAllowed="1" showAll="0">
      <items>
        <item x="0"/>
        <item x="1"/>
        <item x="2"/>
        <item t="default"/>
      </items>
    </pivotField>
    <pivotField name="Desig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unction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ub department" compact="0" outline="0" multipleItemSelectionAllowed="1" showAll="0">
      <items>
        <item x="0"/>
        <item t="default"/>
      </items>
    </pivotField>
    <pivotField name="Reporting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ead P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Exit date" axis="axisPage" compact="0" numFmtId="164" outline="0" multipleItemSelectionAllowed="1" showAll="0">
      <items>
        <item h="1" x="0"/>
        <item h="1" x="1"/>
        <item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h="1" x="17"/>
        <item x="18"/>
        <item h="1" x="19"/>
        <item h="1" x="20"/>
        <item h="1" x="21"/>
        <item x="22"/>
        <item h="1" x="23"/>
        <item x="24"/>
        <item h="1" x="25"/>
        <item h="1" x="26"/>
        <item h="1" x="27"/>
        <item h="1" x="28"/>
        <item h="1" x="29"/>
        <item h="1" x="30"/>
        <item h="1" x="31"/>
        <item h="1" x="32"/>
        <item x="33"/>
        <item t="default"/>
      </items>
    </pivotField>
    <pivotField name="Joining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xit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enure bracket" compact="0" outline="0" multipleItemSelectionAllowed="1" showAll="0">
      <items>
        <item x="0"/>
        <item x="1"/>
        <item x="2"/>
        <item x="3"/>
        <item t="default"/>
      </items>
    </pivotField>
    <pivotField name="Level_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usiness_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us_Flag" axis="axisPage" compact="0" outline="0" multipleItemSelectionAllowed="1" showAll="0">
      <items>
        <item x="0"/>
        <item h="1" x="1"/>
        <item h="1" x="2"/>
        <item t="default"/>
      </items>
    </pivotField>
    <pivotField name="Join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xit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oin_Year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8"/>
  </rowFields>
  <pageFields>
    <pageField fld="20"/>
    <pageField fld="14"/>
  </pageFields>
  <dataFields>
    <dataField name="COUNTA of Emp ID" fld="0" subtotal="count" baseField="0"/>
  </dataFields>
</pivotTableDefinition>
</file>

<file path=xl/pivotTables/pivotTable8.xml><?xml version="1.0" encoding="utf-8"?>
<pivotTableDefinition xmlns="http://schemas.openxmlformats.org/spreadsheetml/2006/main" name="Pivot Tables 8" cacheId="0" dataCaption="" compact="0" compactData="0">
  <location ref="J18:K23" firstHeaderRow="0" firstDataRow="1" firstDataCol="0" rowPageCount="2" colPageCount="1"/>
  <pivotFields>
    <pivotField name="Em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Date of join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Emp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 status" compact="0" outline="0" multipleItemSelectionAllowed="1" showAll="0">
      <items>
        <item x="0"/>
        <item x="1"/>
        <item x="2"/>
        <item t="default"/>
      </items>
    </pivotField>
    <pivotField name="Desig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un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ub department" compact="0" outline="0" multipleItemSelectionAllowed="1" showAll="0">
      <items>
        <item x="0"/>
        <item t="default"/>
      </items>
    </pivotField>
    <pivotField name="Reporting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ead P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Exit date" axis="axisPage" compact="0" numFmtId="164" outline="0" multipleItemSelectionAllowed="1" showAll="0">
      <items>
        <item h="1" x="0"/>
        <item h="1" x="1"/>
        <item x="2"/>
        <item h="1" x="3"/>
        <item x="4"/>
        <item h="1" x="5"/>
        <item h="1" x="6"/>
        <item h="1" x="7"/>
        <item x="8"/>
        <item h="1" x="9"/>
        <item h="1" x="10"/>
        <item h="1" x="11"/>
        <item x="12"/>
        <item h="1" x="13"/>
        <item h="1" x="14"/>
        <item h="1" x="15"/>
        <item x="16"/>
        <item h="1" x="17"/>
        <item x="18"/>
        <item h="1" x="19"/>
        <item h="1" x="20"/>
        <item h="1" x="21"/>
        <item x="22"/>
        <item h="1" x="23"/>
        <item x="24"/>
        <item h="1" x="25"/>
        <item h="1" x="26"/>
        <item h="1" x="27"/>
        <item h="1" x="28"/>
        <item h="1" x="29"/>
        <item h="1" x="30"/>
        <item h="1" x="31"/>
        <item h="1" x="32"/>
        <item x="33"/>
        <item t="default"/>
      </items>
    </pivotField>
    <pivotField name="Joining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xit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enure bracket" compact="0" outline="0" multipleItemSelectionAllowed="1" showAll="0">
      <items>
        <item x="0"/>
        <item x="1"/>
        <item x="2"/>
        <item x="3"/>
        <item t="default"/>
      </items>
    </pivotField>
    <pivotField name="Level_Group" axis="axisRow" compact="0" outline="0" multipleItemSelectionAllowed="1" showAll="0" sortType="descending">
      <items>
        <item x="1"/>
        <item x="4"/>
        <item x="7"/>
        <item x="6"/>
        <item x="3"/>
        <item x="2"/>
        <item x="0"/>
        <item x="5"/>
        <item x="8"/>
        <item t="default"/>
      </items>
    </pivotField>
    <pivotField name="Business_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us_Flag" axis="axisPage" compact="0" outline="0" multipleItemSelectionAllowed="1" showAll="0">
      <items>
        <item x="0"/>
        <item h="1" x="1"/>
        <item h="1" x="2"/>
        <item t="default"/>
      </items>
    </pivotField>
    <pivotField name="Join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xit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oin_Year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8"/>
  </rowFields>
  <pageFields>
    <pageField fld="20"/>
    <pageField fld="14"/>
  </pageFields>
  <dataFields>
    <dataField name="COUNTA of Emp ID" fld="0" subtotal="count" baseField="0"/>
  </dataFields>
</pivotTableDefinition>
</file>

<file path=xl/pivotTables/pivotTable9.xml><?xml version="1.0" encoding="utf-8"?>
<pivotTableDefinition xmlns="http://schemas.openxmlformats.org/spreadsheetml/2006/main" name="Pivot Tables 9" cacheId="0" dataCaption="" compact="0" compactData="0">
  <location ref="M18:N22" firstHeaderRow="0" firstDataRow="1" firstDataCol="0" rowPageCount="1" colPageCount="1"/>
  <pivotFields>
    <pivotField name="Em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Date of join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Emp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 status" compact="0" outline="0" multipleItemSelectionAllowed="1" showAll="0">
      <items>
        <item x="0"/>
        <item x="1"/>
        <item x="2"/>
        <item t="default"/>
      </items>
    </pivotField>
    <pivotField name="Desig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un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ub department" compact="0" outline="0" multipleItemSelectionAllowed="1" showAll="0">
      <items>
        <item x="0"/>
        <item t="default"/>
      </items>
    </pivotField>
    <pivotField name="Reporting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ead P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Ex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Joining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xit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enure bracket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Level_Gro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usiness_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us_Flag" axis="axisPage" compact="0" outline="0" multipleItemSelectionAllowed="1" showAll="0">
      <items>
        <item x="0"/>
        <item h="1" x="1"/>
        <item h="1" x="2"/>
        <item t="default"/>
      </items>
    </pivotField>
    <pivotField name="Join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xit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oin_Year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7"/>
  </rowFields>
  <pageFields>
    <pageField fld="20"/>
  </pageFields>
  <dataFields>
    <dataField name="COUNTA of Emp ID" fld="0" subtotal="count" baseField="0"/>
  </dataFields>
</pivotTableDefinition>
</file>

<file path=xl/pivotTables/pivotTable10.xml><?xml version="1.0" encoding="utf-8"?>
<pivotTableDefinition xmlns="http://schemas.openxmlformats.org/spreadsheetml/2006/main" name="Pivot Tables 10" cacheId="0" dataCaption="" compact="0" compactData="0">
  <location ref="Q18:R26" firstHeaderRow="0" firstDataRow="1" firstDataCol="0" rowPageCount="1" colPageCount="1"/>
  <pivotFields>
    <pivotField name="Emp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Date of joining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t="default"/>
      </items>
    </pivotField>
    <pivotField name="Emp ty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mp status" compact="0" outline="0" multipleItemSelectionAllowed="1" showAll="0">
      <items>
        <item x="0"/>
        <item x="1"/>
        <item x="2"/>
        <item t="default"/>
      </items>
    </pivotField>
    <pivotField name="Design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un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ub department" compact="0" outline="0" multipleItemSelectionAllowed="1" showAll="0">
      <items>
        <item x="0"/>
        <item t="default"/>
      </items>
    </pivotField>
    <pivotField name="Reporting 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ead P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Ex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Joining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Exit 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enure bracket" compact="0" outline="0" multipleItemSelectionAllowed="1" showAll="0">
      <items>
        <item x="0"/>
        <item x="1"/>
        <item x="2"/>
        <item x="3"/>
        <item t="default"/>
      </items>
    </pivotField>
    <pivotField name="Level_Group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Business_uni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tus_Flag" axis="axisPage" compact="0" outline="0" multipleItemSelectionAllowed="1" showAll="0">
      <items>
        <item x="0"/>
        <item h="1" x="1"/>
        <item h="1" x="2"/>
        <item t="default"/>
      </items>
    </pivotField>
    <pivotField name="Join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xit_Quar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oin_Year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8"/>
  </rowFields>
  <pageFields>
    <pageField fld="20"/>
  </pageFields>
  <dataFields>
    <dataField name="COUNTA of Emp ID" fld="0" subtotal="count" baseField="0"/>
  </dataFields>
</pivotTableDefinition>
</file>

<file path=xl/tables/table1.xml><?xml version="1.0" encoding="utf-8"?>
<table xmlns="http://schemas.openxmlformats.org/spreadsheetml/2006/main" totalsRowCount="1" ref="A1:X122" displayName="Table1" name="Table1" id="1">
  <tableColumns count="24">
    <tableColumn name="Emp ID" id="1"/>
    <tableColumn name="Full name" id="2"/>
    <tableColumn name="Date of joining" id="3"/>
    <tableColumn name="Email" id="4"/>
    <tableColumn name="Gender" id="5"/>
    <tableColumn name="Emp type" id="6"/>
    <tableColumn name="Emp status" id="7"/>
    <tableColumn name="Designation" id="8"/>
    <tableColumn name="Function" id="9"/>
    <tableColumn name="Team" id="10"/>
    <tableColumn name="Department" id="11"/>
    <tableColumn name="Sub department" id="12"/>
    <tableColumn name="Reporting manager" id="13"/>
    <tableColumn name="Lead POC" id="14"/>
    <tableColumn name="Exit date" id="15"/>
    <tableColumn name="Joining month" id="16"/>
    <tableColumn name="Exit month" id="17"/>
    <tableColumn name="Tenure bracket" id="18"/>
    <tableColumn name="Level_Group" id="19"/>
    <tableColumn name="Business_unit" id="20"/>
    <tableColumn name="Status_Flag" id="21"/>
    <tableColumn name="Join_Quarter" id="22"/>
    <tableColumn name="Exit_Quarter" id="23"/>
    <tableColumn name="Join_Year" id="24"/>
  </tableColumns>
  <tableStyleInfo name="Working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pivotTable" Target="../pivotTables/pivotTable10.xml"/><Relationship Id="rId10" Type="http://schemas.openxmlformats.org/officeDocument/2006/relationships/pivotTable" Target="../pivotTables/pivotTable9.xml"/><Relationship Id="rId13" Type="http://schemas.openxmlformats.org/officeDocument/2006/relationships/vmlDrawing" Target="../drawings/vmlDrawing2.vml"/><Relationship Id="rId12" Type="http://schemas.openxmlformats.org/officeDocument/2006/relationships/drawing" Target="../drawings/drawing2.xml"/><Relationship Id="rId1" Type="http://schemas.openxmlformats.org/officeDocument/2006/relationships/comments" Target="../comments2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<Relationship Id="rId9" Type="http://schemas.openxmlformats.org/officeDocument/2006/relationships/pivotTable" Target="../pivotTables/pivotTable8.xml"/><Relationship Id="rId5" Type="http://schemas.openxmlformats.org/officeDocument/2006/relationships/pivotTable" Target="../pivotTables/pivotTable4.xml"/><Relationship Id="rId6" Type="http://schemas.openxmlformats.org/officeDocument/2006/relationships/pivotTable" Target="../pivotTables/pivotTable5.xml"/><Relationship Id="rId7" Type="http://schemas.openxmlformats.org/officeDocument/2006/relationships/pivotTable" Target="../pivotTables/pivotTable6.xml"/><Relationship Id="rId8" Type="http://schemas.openxmlformats.org/officeDocument/2006/relationships/pivotTable" Target="../pivotTables/pivot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24">
      <c r="A24" s="1">
        <f>COUNTA(Working_Data!A2:A1000)</f>
        <v>120</v>
      </c>
      <c r="E24" s="2">
        <f>COUNTIF(Working_Data!U2:U1000,"Active")</f>
        <v>87</v>
      </c>
      <c r="I24" s="3" t="s">
        <v>0</v>
      </c>
      <c r="Q24" s="3"/>
      <c r="R24" s="3"/>
      <c r="S24" s="3"/>
      <c r="T24" s="3"/>
      <c r="U24" s="4"/>
      <c r="V24" s="4"/>
    </row>
    <row r="25">
      <c r="I25" s="3" t="s">
        <v>1</v>
      </c>
      <c r="R25" s="3"/>
      <c r="S25" s="3"/>
      <c r="T25" s="3"/>
      <c r="U25" s="3"/>
      <c r="V25" s="3"/>
    </row>
  </sheetData>
  <mergeCells count="2">
    <mergeCell ref="I24:P24"/>
    <mergeCell ref="I25:Q25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35.78"/>
    <col customWidth="1" min="2" max="2" width="23.0"/>
    <col customWidth="1" min="4" max="4" width="33.44"/>
    <col customWidth="1" min="5" max="5" width="23.0"/>
    <col customWidth="1" min="7" max="7" width="112.67"/>
    <col customWidth="1" min="8" max="8" width="23.0"/>
    <col customWidth="1" min="10" max="10" width="25.78"/>
    <col customWidth="1" min="11" max="11" width="23.0"/>
    <col customWidth="1" min="13" max="13" width="37.44"/>
    <col customWidth="1" min="14" max="14" width="19.78"/>
    <col customWidth="1" min="15" max="15" width="4.0"/>
    <col customWidth="1" min="16" max="16" width="10.0"/>
    <col customWidth="1" min="17" max="17" width="24.67"/>
    <col customWidth="1" min="18" max="18" width="23.0"/>
    <col customWidth="1" min="19" max="19" width="6.33"/>
    <col customWidth="1" min="20" max="20" width="5.89"/>
    <col customWidth="1" min="21" max="21" width="21.78"/>
    <col customWidth="1" min="22" max="22" width="14.44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</v>
      </c>
      <c r="B2" s="7"/>
      <c r="C2" s="5"/>
      <c r="D2" s="8" t="s">
        <v>3</v>
      </c>
      <c r="E2" s="9"/>
      <c r="F2" s="5"/>
      <c r="G2" s="10" t="s">
        <v>4</v>
      </c>
      <c r="H2" s="11"/>
      <c r="I2" s="11"/>
      <c r="J2" s="11"/>
      <c r="K2" s="12"/>
      <c r="L2" s="5"/>
      <c r="M2" s="13" t="s">
        <v>5</v>
      </c>
      <c r="N2" s="14"/>
      <c r="O2" s="14"/>
      <c r="P2" s="14"/>
      <c r="Q2" s="14"/>
      <c r="R2" s="14"/>
      <c r="S2" s="14"/>
      <c r="T2" s="14"/>
      <c r="U2" s="14"/>
      <c r="V2" s="15"/>
      <c r="W2" s="5"/>
      <c r="X2" s="5"/>
      <c r="Y2" s="5"/>
      <c r="Z2" s="5"/>
    </row>
    <row r="3">
      <c r="C3" s="5"/>
      <c r="F3" s="5"/>
      <c r="I3" s="22"/>
      <c r="L3" s="5"/>
      <c r="W3" s="5"/>
      <c r="X3" s="5"/>
      <c r="Y3" s="5"/>
      <c r="Z3" s="5"/>
    </row>
    <row r="4">
      <c r="C4" s="5"/>
      <c r="F4" s="5"/>
      <c r="I4" s="22"/>
      <c r="L4" s="5"/>
      <c r="W4" s="5"/>
      <c r="X4" s="5"/>
      <c r="Y4" s="5"/>
      <c r="Z4" s="5"/>
    </row>
    <row r="5">
      <c r="C5" s="5"/>
      <c r="F5" s="5"/>
      <c r="I5" s="22"/>
      <c r="L5" s="5"/>
      <c r="W5" s="5"/>
      <c r="X5" s="5"/>
      <c r="Y5" s="5"/>
      <c r="Z5" s="5"/>
    </row>
    <row r="6">
      <c r="C6" s="5"/>
      <c r="F6" s="5"/>
      <c r="I6" s="22"/>
      <c r="L6" s="5"/>
      <c r="W6" s="5"/>
      <c r="X6" s="5"/>
      <c r="Y6" s="5"/>
      <c r="Z6" s="5"/>
    </row>
    <row r="7">
      <c r="C7" s="5"/>
      <c r="F7" s="5"/>
      <c r="I7" s="22"/>
      <c r="L7" s="5"/>
      <c r="W7" s="5"/>
      <c r="X7" s="5"/>
      <c r="Y7" s="5"/>
      <c r="Z7" s="5"/>
    </row>
    <row r="8">
      <c r="C8" s="5"/>
      <c r="F8" s="5"/>
      <c r="I8" s="22"/>
      <c r="L8" s="5"/>
      <c r="W8" s="5"/>
      <c r="X8" s="5"/>
      <c r="Y8" s="5"/>
      <c r="Z8" s="5"/>
    </row>
    <row r="9">
      <c r="C9" s="5"/>
      <c r="F9" s="5"/>
      <c r="I9" s="22"/>
      <c r="L9" s="5"/>
      <c r="W9" s="5"/>
      <c r="X9" s="5"/>
      <c r="Y9" s="5"/>
      <c r="Z9" s="5"/>
    </row>
    <row r="10">
      <c r="C10" s="5"/>
      <c r="F10" s="5"/>
      <c r="I10" s="22"/>
      <c r="L10" s="5"/>
      <c r="W10" s="5"/>
      <c r="X10" s="5"/>
      <c r="Y10" s="5"/>
      <c r="Z10" s="5"/>
    </row>
    <row r="11">
      <c r="C11" s="5"/>
      <c r="F11" s="5"/>
      <c r="I11" s="22"/>
      <c r="J11" s="22"/>
      <c r="K11" s="34"/>
      <c r="L11" s="5"/>
      <c r="W11" s="5"/>
      <c r="X11" s="5"/>
      <c r="Y11" s="5"/>
      <c r="Z11" s="5"/>
    </row>
    <row r="12">
      <c r="C12" s="5"/>
      <c r="F12" s="5"/>
      <c r="I12" s="22"/>
      <c r="J12" s="22"/>
      <c r="K12" s="34"/>
      <c r="L12" s="5"/>
      <c r="W12" s="5"/>
      <c r="X12" s="5"/>
      <c r="Y12" s="5"/>
      <c r="Z12" s="5"/>
    </row>
    <row r="13">
      <c r="C13" s="5"/>
      <c r="F13" s="5"/>
      <c r="I13" s="22"/>
      <c r="J13" s="22"/>
      <c r="K13" s="34"/>
      <c r="L13" s="5"/>
      <c r="W13" s="5"/>
      <c r="X13" s="5"/>
      <c r="Y13" s="5"/>
      <c r="Z13" s="5"/>
    </row>
    <row r="14">
      <c r="C14" s="5"/>
      <c r="F14" s="5"/>
      <c r="I14" s="43"/>
      <c r="J14" s="43"/>
      <c r="K14" s="4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5" t="s">
        <v>48</v>
      </c>
      <c r="B16" s="46"/>
      <c r="C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7" t="s">
        <v>49</v>
      </c>
      <c r="C17" s="5"/>
      <c r="F17" s="5"/>
      <c r="G17" s="48" t="s">
        <v>51</v>
      </c>
      <c r="H17" s="49"/>
      <c r="I17" s="50"/>
      <c r="J17" s="51" t="s">
        <v>52</v>
      </c>
      <c r="K17" s="49"/>
      <c r="L17" s="50"/>
      <c r="M17" s="51" t="s">
        <v>53</v>
      </c>
      <c r="N17" s="49"/>
      <c r="O17" s="52"/>
      <c r="P17" s="52"/>
      <c r="Q17" s="51" t="s">
        <v>54</v>
      </c>
      <c r="R17" s="53"/>
      <c r="S17" s="5"/>
      <c r="T17" s="5"/>
      <c r="U17" s="54"/>
      <c r="V17" s="54"/>
      <c r="W17" s="5"/>
      <c r="X17" s="5"/>
      <c r="Y17" s="5"/>
      <c r="Z17" s="5"/>
    </row>
    <row r="18">
      <c r="A18" s="55"/>
      <c r="C18" s="5"/>
      <c r="F18" s="5"/>
      <c r="I18" s="5"/>
      <c r="L18" s="5"/>
      <c r="O18" s="5"/>
      <c r="P18" s="5"/>
      <c r="S18" s="5"/>
      <c r="T18" s="5"/>
      <c r="U18" s="58"/>
      <c r="V18" s="58"/>
      <c r="W18" s="5"/>
      <c r="X18" s="5"/>
      <c r="Y18" s="5"/>
      <c r="Z18" s="5"/>
    </row>
    <row r="19">
      <c r="A19" s="5"/>
      <c r="B19" s="5"/>
      <c r="C19" s="5"/>
      <c r="F19" s="5"/>
      <c r="I19" s="5"/>
      <c r="L19" s="5"/>
      <c r="O19" s="5"/>
      <c r="P19" s="5"/>
      <c r="S19" s="5"/>
      <c r="T19" s="5"/>
      <c r="U19" s="58"/>
      <c r="V19" s="5"/>
      <c r="W19" s="5"/>
      <c r="X19" s="5"/>
      <c r="Y19" s="5"/>
      <c r="Z19" s="5"/>
    </row>
    <row r="20">
      <c r="A20" s="62" t="s">
        <v>59</v>
      </c>
      <c r="B20" s="63"/>
      <c r="C20" s="54"/>
      <c r="F20" s="5"/>
      <c r="I20" s="5"/>
      <c r="L20" s="5"/>
      <c r="O20" s="5"/>
      <c r="P20" s="5"/>
      <c r="S20" s="5"/>
      <c r="T20" s="5"/>
      <c r="U20" s="58"/>
      <c r="V20" s="5"/>
      <c r="W20" s="5"/>
      <c r="X20" s="5"/>
      <c r="Y20" s="5"/>
      <c r="Z20" s="5"/>
    </row>
    <row r="21">
      <c r="A21" s="64">
        <f>(B18/120)</f>
        <v>0.075</v>
      </c>
      <c r="B21" s="65"/>
      <c r="C21" s="66"/>
      <c r="F21" s="5"/>
      <c r="I21" s="5"/>
      <c r="L21" s="5"/>
      <c r="O21" s="5"/>
      <c r="P21" s="5"/>
      <c r="S21" s="5"/>
      <c r="T21" s="5"/>
      <c r="U21" s="58"/>
      <c r="V21" s="5"/>
      <c r="W21" s="5"/>
      <c r="X21" s="5"/>
      <c r="Y21" s="5"/>
      <c r="Z21" s="5"/>
    </row>
    <row r="22">
      <c r="A22" s="5"/>
      <c r="B22" s="5"/>
      <c r="C22" s="5"/>
      <c r="F22" s="5"/>
      <c r="I22" s="5"/>
      <c r="L22" s="5"/>
      <c r="O22" s="5"/>
      <c r="P22" s="5"/>
      <c r="S22" s="5"/>
      <c r="T22" s="5"/>
      <c r="U22" s="58"/>
      <c r="V22" s="5"/>
      <c r="W22" s="5"/>
      <c r="X22" s="5"/>
      <c r="Y22" s="5"/>
      <c r="Z22" s="5"/>
    </row>
    <row r="23">
      <c r="A23" s="5"/>
      <c r="B23" s="5"/>
      <c r="C23" s="5"/>
      <c r="F23" s="5"/>
      <c r="I23" s="5"/>
      <c r="L23" s="5"/>
      <c r="M23" s="5"/>
      <c r="N23" s="5"/>
      <c r="O23" s="5"/>
      <c r="P23" s="5"/>
      <c r="S23" s="5"/>
      <c r="T23" s="5"/>
      <c r="U23" s="58"/>
      <c r="V23" s="5"/>
      <c r="W23" s="5"/>
      <c r="X23" s="5"/>
      <c r="Y23" s="5"/>
      <c r="Z23" s="5"/>
    </row>
    <row r="24">
      <c r="A24" s="5"/>
      <c r="B24" s="5"/>
      <c r="C24" s="5"/>
      <c r="F24" s="5"/>
      <c r="I24" s="5"/>
      <c r="J24" s="5"/>
      <c r="K24" s="5"/>
      <c r="L24" s="5"/>
      <c r="M24" s="5"/>
      <c r="N24" s="5"/>
      <c r="O24" s="5"/>
      <c r="P24" s="5"/>
      <c r="S24" s="5"/>
      <c r="T24" s="5"/>
      <c r="U24" s="58"/>
      <c r="V24" s="5"/>
      <c r="W24" s="5"/>
      <c r="X24" s="5"/>
      <c r="Y24" s="5"/>
      <c r="Z24" s="5"/>
    </row>
    <row r="25">
      <c r="A25" s="5"/>
      <c r="B25" s="5"/>
      <c r="C25" s="5"/>
      <c r="F25" s="5"/>
      <c r="I25" s="5"/>
      <c r="J25" s="5"/>
      <c r="K25" s="5"/>
      <c r="L25" s="5"/>
      <c r="M25" s="5"/>
      <c r="N25" s="5"/>
      <c r="O25" s="5"/>
      <c r="P25" s="5"/>
      <c r="S25" s="5"/>
      <c r="T25" s="5"/>
      <c r="U25" s="58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I26" s="70"/>
      <c r="J26" s="70"/>
      <c r="K26" s="70"/>
      <c r="L26" s="70"/>
      <c r="M26" s="70"/>
      <c r="N26" s="70"/>
      <c r="O26" s="70"/>
      <c r="P26" s="70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1"/>
      <c r="V27" s="1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2">
    <mergeCell ref="J17:K17"/>
    <mergeCell ref="M17:N17"/>
    <mergeCell ref="A17:A18"/>
    <mergeCell ref="A20:B20"/>
    <mergeCell ref="A21:B21"/>
    <mergeCell ref="A2:B2"/>
    <mergeCell ref="D2:E2"/>
    <mergeCell ref="G2:K2"/>
    <mergeCell ref="M2:V2"/>
    <mergeCell ref="A16:B16"/>
    <mergeCell ref="G17:H17"/>
    <mergeCell ref="Q17:R17"/>
  </mergeCells>
  <conditionalFormatting sqref="A2:B2">
    <cfRule type="notContainsBlanks" dxfId="0" priority="1">
      <formula>LEN(TRIM(A2))&gt;0</formula>
    </cfRule>
  </conditionalFormatting>
  <drawing r:id="rId12"/>
  <legacy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22"/>
    <col customWidth="1" min="2" max="2" width="13.56"/>
    <col customWidth="1" min="3" max="3" width="18.56"/>
    <col customWidth="1" min="4" max="4" width="21.33"/>
    <col customWidth="1" min="5" max="5" width="11.0"/>
    <col customWidth="1" min="6" max="6" width="13.11"/>
    <col customWidth="1" min="7" max="7" width="14.89"/>
    <col customWidth="1" min="8" max="8" width="15.67"/>
    <col customWidth="1" min="9" max="9" width="12.44"/>
    <col customWidth="1" min="10" max="10" width="14.22"/>
    <col customWidth="1" min="11" max="11" width="16.56"/>
    <col customWidth="1" min="12" max="12" width="19.89"/>
    <col customWidth="1" min="13" max="13" width="23.11"/>
    <col customWidth="1" min="14" max="14" width="13.22"/>
    <col customWidth="1" min="15" max="15" width="12.67"/>
    <col customWidth="1" min="16" max="16" width="18.0"/>
    <col customWidth="1" min="17" max="17" width="14.67"/>
    <col customWidth="1" min="18" max="18" width="18.89"/>
    <col customWidth="1" min="19" max="19" width="16.33"/>
    <col customWidth="1" min="20" max="20" width="17.78"/>
    <col customWidth="1" min="21" max="21" width="15.67"/>
    <col customWidth="1" min="22" max="23" width="16.56"/>
    <col customWidth="1" min="24" max="24" width="13.67"/>
    <col customWidth="1" min="25" max="26" width="27.67"/>
  </cols>
  <sheetData>
    <row r="1" ht="14.25" customHeight="1">
      <c r="A1" s="72" t="s">
        <v>66</v>
      </c>
      <c r="B1" s="72" t="s">
        <v>67</v>
      </c>
      <c r="C1" s="72" t="s">
        <v>68</v>
      </c>
      <c r="D1" s="72" t="s">
        <v>69</v>
      </c>
      <c r="E1" s="72" t="s">
        <v>70</v>
      </c>
      <c r="F1" s="72" t="s">
        <v>71</v>
      </c>
      <c r="G1" s="72" t="s">
        <v>72</v>
      </c>
      <c r="H1" s="72" t="s">
        <v>73</v>
      </c>
      <c r="I1" s="72" t="s">
        <v>9</v>
      </c>
      <c r="J1" s="72" t="s">
        <v>74</v>
      </c>
      <c r="K1" s="72" t="s">
        <v>75</v>
      </c>
      <c r="L1" s="72" t="s">
        <v>76</v>
      </c>
      <c r="M1" s="72" t="s">
        <v>77</v>
      </c>
      <c r="N1" s="72" t="s">
        <v>78</v>
      </c>
      <c r="O1" s="72" t="s">
        <v>79</v>
      </c>
      <c r="P1" s="72" t="s">
        <v>6</v>
      </c>
      <c r="Q1" s="72" t="s">
        <v>8</v>
      </c>
      <c r="R1" s="72" t="s">
        <v>56</v>
      </c>
      <c r="S1" s="73" t="s">
        <v>13</v>
      </c>
      <c r="T1" s="73" t="s">
        <v>80</v>
      </c>
      <c r="U1" s="73" t="s">
        <v>81</v>
      </c>
      <c r="V1" s="74" t="s">
        <v>82</v>
      </c>
      <c r="W1" s="73" t="s">
        <v>83</v>
      </c>
      <c r="X1" s="73" t="s">
        <v>84</v>
      </c>
      <c r="Y1" s="75"/>
      <c r="Z1" s="5"/>
    </row>
    <row r="2" ht="14.25" customHeight="1">
      <c r="A2" s="76" t="s">
        <v>85</v>
      </c>
      <c r="B2" s="76" t="s">
        <v>86</v>
      </c>
      <c r="C2" s="77">
        <v>45871.0</v>
      </c>
      <c r="D2" s="76" t="s">
        <v>87</v>
      </c>
      <c r="E2" s="76" t="s">
        <v>88</v>
      </c>
      <c r="F2" s="76" t="s">
        <v>89</v>
      </c>
      <c r="G2" s="76" t="s">
        <v>90</v>
      </c>
      <c r="H2" s="76" t="s">
        <v>91</v>
      </c>
      <c r="I2" s="76" t="s">
        <v>21</v>
      </c>
      <c r="J2" s="76" t="s">
        <v>92</v>
      </c>
      <c r="K2" s="76" t="s">
        <v>93</v>
      </c>
      <c r="L2" s="76"/>
      <c r="M2" s="76" t="s">
        <v>94</v>
      </c>
      <c r="N2" s="76" t="s">
        <v>95</v>
      </c>
      <c r="O2" s="78">
        <v>45908.0</v>
      </c>
      <c r="P2" s="76" t="s">
        <v>96</v>
      </c>
      <c r="Q2" s="76" t="s">
        <v>11</v>
      </c>
      <c r="R2" s="76" t="s">
        <v>58</v>
      </c>
      <c r="S2" s="79" t="str">
        <f>IFERROR(VLOOKUP(H2, Level_Map!A:B, 2, FALSE), "")</f>
        <v>L2</v>
      </c>
      <c r="T2" s="76" t="str">
        <f>IFERROR(VLOOKUP(I2, Function_BU_Map!A:B, 2, FALSE), "")</f>
        <v>Corp</v>
      </c>
      <c r="U2" s="76" t="str">
        <f t="shared" ref="U2:U121" si="1">IF(G2="Working","Active","Exited")</f>
        <v>Exited</v>
      </c>
      <c r="V2" s="76" t="str">
        <f t="shared" ref="V2:V121" si="2">"Q"&amp;ROUNDUP(MONTH(C2)/3,0)&amp;" "&amp;YEAR(C2)</f>
        <v>Q3 2025</v>
      </c>
      <c r="W2" s="76" t="str">
        <f>IF(O3="","", "Q"&amp;ROUNDUP(MONTH(O3)/3,0)&amp;" "&amp;YEAR(O3))</f>
        <v/>
      </c>
      <c r="X2" s="76">
        <f t="shared" ref="X2:X121" si="3">IF(P2="","",YEAR(C2))</f>
        <v>2025</v>
      </c>
      <c r="Y2" s="5"/>
      <c r="Z2" s="5"/>
    </row>
    <row r="3" ht="14.25" customHeight="1">
      <c r="A3" s="76" t="s">
        <v>97</v>
      </c>
      <c r="B3" s="76" t="s">
        <v>98</v>
      </c>
      <c r="C3" s="77">
        <v>44613.0</v>
      </c>
      <c r="D3" s="76" t="s">
        <v>99</v>
      </c>
      <c r="E3" s="76" t="s">
        <v>100</v>
      </c>
      <c r="F3" s="76" t="s">
        <v>101</v>
      </c>
      <c r="G3" s="76" t="s">
        <v>102</v>
      </c>
      <c r="H3" s="76" t="s">
        <v>103</v>
      </c>
      <c r="I3" s="76" t="s">
        <v>21</v>
      </c>
      <c r="J3" s="76" t="s">
        <v>92</v>
      </c>
      <c r="K3" s="76" t="s">
        <v>104</v>
      </c>
      <c r="L3" s="76"/>
      <c r="M3" s="76" t="s">
        <v>105</v>
      </c>
      <c r="N3" s="76" t="s">
        <v>106</v>
      </c>
      <c r="O3" s="76"/>
      <c r="P3" s="76" t="s">
        <v>107</v>
      </c>
      <c r="Q3" s="76"/>
      <c r="R3" s="76" t="s">
        <v>63</v>
      </c>
      <c r="S3" s="79" t="str">
        <f>IFERROR(VLOOKUP(H3, Level_Map!A:B, 2, FALSE), "")</f>
        <v>L8</v>
      </c>
      <c r="T3" s="76" t="str">
        <f>IFERROR(VLOOKUP(I3, Function_BU_Map!A:B, 2, FALSE), "")</f>
        <v>Corp</v>
      </c>
      <c r="U3" s="76" t="str">
        <f t="shared" si="1"/>
        <v>Active</v>
      </c>
      <c r="V3" s="76" t="str">
        <f t="shared" si="2"/>
        <v>Q1 2022</v>
      </c>
      <c r="X3" s="76">
        <f t="shared" si="3"/>
        <v>2022</v>
      </c>
      <c r="Y3" s="5"/>
      <c r="Z3" s="5"/>
    </row>
    <row r="4" ht="14.25" customHeight="1">
      <c r="A4" s="76" t="s">
        <v>108</v>
      </c>
      <c r="B4" s="76" t="s">
        <v>109</v>
      </c>
      <c r="C4" s="77">
        <v>45125.0</v>
      </c>
      <c r="D4" s="76" t="s">
        <v>110</v>
      </c>
      <c r="E4" s="76" t="s">
        <v>88</v>
      </c>
      <c r="F4" s="76" t="s">
        <v>101</v>
      </c>
      <c r="G4" s="76" t="s">
        <v>102</v>
      </c>
      <c r="H4" s="76" t="s">
        <v>111</v>
      </c>
      <c r="I4" s="76" t="s">
        <v>16</v>
      </c>
      <c r="J4" s="76" t="s">
        <v>92</v>
      </c>
      <c r="K4" s="76" t="s">
        <v>112</v>
      </c>
      <c r="L4" s="76"/>
      <c r="M4" s="76" t="s">
        <v>113</v>
      </c>
      <c r="N4" s="76" t="s">
        <v>114</v>
      </c>
      <c r="O4" s="76"/>
      <c r="P4" s="76" t="s">
        <v>57</v>
      </c>
      <c r="Q4" s="76"/>
      <c r="R4" s="76" t="s">
        <v>63</v>
      </c>
      <c r="S4" s="79" t="str">
        <f>IFERROR(VLOOKUP(H4, Level_Map!A:B, 2, FALSE), "")</f>
        <v>L3</v>
      </c>
      <c r="T4" s="76" t="str">
        <f>IFERROR(VLOOKUP(I4, Function_BU_Map!A:B, 2, FALSE), "")</f>
        <v>Tech</v>
      </c>
      <c r="U4" s="76" t="str">
        <f t="shared" si="1"/>
        <v>Active</v>
      </c>
      <c r="V4" s="76" t="str">
        <f t="shared" si="2"/>
        <v>Q3 2023</v>
      </c>
      <c r="W4" s="76" t="str">
        <f t="shared" ref="W4:W121" si="4">IF(O4="","", "Q"&amp;ROUNDUP(MONTH(O4)/3,0)&amp;" "&amp;YEAR(O4))</f>
        <v/>
      </c>
      <c r="X4" s="76">
        <f t="shared" si="3"/>
        <v>2023</v>
      </c>
      <c r="Y4" s="5"/>
      <c r="Z4" s="5"/>
    </row>
    <row r="5" ht="14.25" customHeight="1">
      <c r="A5" s="76" t="s">
        <v>115</v>
      </c>
      <c r="B5" s="76" t="s">
        <v>116</v>
      </c>
      <c r="C5" s="77">
        <v>45063.0</v>
      </c>
      <c r="D5" s="76" t="s">
        <v>117</v>
      </c>
      <c r="E5" s="76" t="s">
        <v>88</v>
      </c>
      <c r="F5" s="76" t="s">
        <v>101</v>
      </c>
      <c r="G5" s="76" t="s">
        <v>90</v>
      </c>
      <c r="H5" s="76" t="s">
        <v>118</v>
      </c>
      <c r="I5" s="76" t="s">
        <v>20</v>
      </c>
      <c r="J5" s="76" t="s">
        <v>119</v>
      </c>
      <c r="K5" s="76" t="s">
        <v>120</v>
      </c>
      <c r="L5" s="76"/>
      <c r="M5" s="76" t="s">
        <v>121</v>
      </c>
      <c r="N5" s="76" t="s">
        <v>122</v>
      </c>
      <c r="O5" s="78">
        <v>45321.0</v>
      </c>
      <c r="P5" s="76" t="s">
        <v>123</v>
      </c>
      <c r="Q5" s="76" t="s">
        <v>23</v>
      </c>
      <c r="R5" s="76" t="s">
        <v>58</v>
      </c>
      <c r="S5" s="79" t="str">
        <f>IFERROR(VLOOKUP(H5, Level_Map!A:B, 2, FALSE), "")</f>
        <v>L4</v>
      </c>
      <c r="T5" s="76" t="str">
        <f>IFERROR(VLOOKUP(I5, Function_BU_Map!A:B, 2, FALSE), "")</f>
        <v>Risk</v>
      </c>
      <c r="U5" s="76" t="str">
        <f t="shared" si="1"/>
        <v>Exited</v>
      </c>
      <c r="V5" s="76" t="str">
        <f t="shared" si="2"/>
        <v>Q2 2023</v>
      </c>
      <c r="W5" s="76" t="str">
        <f t="shared" si="4"/>
        <v>Q1 2024</v>
      </c>
      <c r="X5" s="76">
        <f t="shared" si="3"/>
        <v>2023</v>
      </c>
      <c r="Y5" s="5"/>
      <c r="Z5" s="5"/>
    </row>
    <row r="6" ht="14.25" customHeight="1">
      <c r="A6" s="76" t="s">
        <v>124</v>
      </c>
      <c r="B6" s="76" t="s">
        <v>125</v>
      </c>
      <c r="C6" s="77">
        <v>44847.0</v>
      </c>
      <c r="D6" s="76" t="s">
        <v>126</v>
      </c>
      <c r="E6" s="76" t="s">
        <v>88</v>
      </c>
      <c r="F6" s="76" t="s">
        <v>101</v>
      </c>
      <c r="G6" s="76" t="s">
        <v>90</v>
      </c>
      <c r="H6" s="76" t="s">
        <v>111</v>
      </c>
      <c r="I6" s="76" t="s">
        <v>19</v>
      </c>
      <c r="J6" s="76" t="s">
        <v>127</v>
      </c>
      <c r="K6" s="76" t="s">
        <v>128</v>
      </c>
      <c r="L6" s="76"/>
      <c r="M6" s="76" t="s">
        <v>129</v>
      </c>
      <c r="N6" s="76" t="s">
        <v>130</v>
      </c>
      <c r="O6" s="78">
        <v>45086.0</v>
      </c>
      <c r="P6" s="76" t="s">
        <v>131</v>
      </c>
      <c r="Q6" s="76" t="s">
        <v>50</v>
      </c>
      <c r="R6" s="76" t="s">
        <v>58</v>
      </c>
      <c r="S6" s="79" t="str">
        <f>IFERROR(VLOOKUP(H6, Level_Map!A:B, 2, FALSE), "")</f>
        <v>L3</v>
      </c>
      <c r="T6" s="76" t="str">
        <f>IFERROR(VLOOKUP(I6, Function_BU_Map!A:B, 2, FALSE), "")</f>
        <v>Tech</v>
      </c>
      <c r="U6" s="76" t="str">
        <f t="shared" si="1"/>
        <v>Exited</v>
      </c>
      <c r="V6" s="76" t="str">
        <f t="shared" si="2"/>
        <v>Q4 2022</v>
      </c>
      <c r="W6" s="76" t="str">
        <f t="shared" si="4"/>
        <v>Q2 2023</v>
      </c>
      <c r="X6" s="76">
        <f t="shared" si="3"/>
        <v>2022</v>
      </c>
      <c r="Y6" s="5"/>
      <c r="Z6" s="5"/>
    </row>
    <row r="7" ht="14.25" customHeight="1">
      <c r="A7" s="76" t="s">
        <v>132</v>
      </c>
      <c r="B7" s="76" t="s">
        <v>133</v>
      </c>
      <c r="C7" s="77">
        <v>45678.0</v>
      </c>
      <c r="D7" s="76" t="s">
        <v>134</v>
      </c>
      <c r="E7" s="76" t="s">
        <v>88</v>
      </c>
      <c r="F7" s="76" t="s">
        <v>101</v>
      </c>
      <c r="G7" s="76" t="s">
        <v>102</v>
      </c>
      <c r="H7" s="76" t="s">
        <v>135</v>
      </c>
      <c r="I7" s="76" t="s">
        <v>15</v>
      </c>
      <c r="J7" s="76" t="s">
        <v>136</v>
      </c>
      <c r="K7" s="76" t="s">
        <v>137</v>
      </c>
      <c r="L7" s="76"/>
      <c r="M7" s="76" t="s">
        <v>138</v>
      </c>
      <c r="N7" s="76" t="s">
        <v>139</v>
      </c>
      <c r="O7" s="76"/>
      <c r="P7" s="76" t="s">
        <v>60</v>
      </c>
      <c r="Q7" s="76"/>
      <c r="R7" s="76" t="s">
        <v>58</v>
      </c>
      <c r="S7" s="79" t="str">
        <f>IFERROR(VLOOKUP(H7, Level_Map!A:B, 2, FALSE), "")</f>
        <v>L7</v>
      </c>
      <c r="T7" s="76" t="str">
        <f>IFERROR(VLOOKUP(I7, Function_BU_Map!A:B, 2, FALSE), "")</f>
        <v>Ops</v>
      </c>
      <c r="U7" s="76" t="str">
        <f t="shared" si="1"/>
        <v>Active</v>
      </c>
      <c r="V7" s="76" t="str">
        <f t="shared" si="2"/>
        <v>Q1 2025</v>
      </c>
      <c r="W7" s="76" t="str">
        <f t="shared" si="4"/>
        <v/>
      </c>
      <c r="X7" s="76">
        <f t="shared" si="3"/>
        <v>2025</v>
      </c>
      <c r="Y7" s="5"/>
      <c r="Z7" s="5"/>
    </row>
    <row r="8" ht="14.25" customHeight="1">
      <c r="A8" s="76" t="s">
        <v>140</v>
      </c>
      <c r="B8" s="76" t="s">
        <v>141</v>
      </c>
      <c r="C8" s="77">
        <v>44740.0</v>
      </c>
      <c r="D8" s="76" t="s">
        <v>142</v>
      </c>
      <c r="E8" s="76" t="s">
        <v>88</v>
      </c>
      <c r="F8" s="76" t="s">
        <v>101</v>
      </c>
      <c r="G8" s="76" t="s">
        <v>102</v>
      </c>
      <c r="H8" s="76" t="s">
        <v>103</v>
      </c>
      <c r="I8" s="76" t="s">
        <v>15</v>
      </c>
      <c r="J8" s="76" t="s">
        <v>92</v>
      </c>
      <c r="K8" s="76" t="s">
        <v>143</v>
      </c>
      <c r="L8" s="76"/>
      <c r="M8" s="76" t="s">
        <v>129</v>
      </c>
      <c r="N8" s="76" t="s">
        <v>144</v>
      </c>
      <c r="O8" s="76"/>
      <c r="P8" s="76" t="s">
        <v>145</v>
      </c>
      <c r="Q8" s="76"/>
      <c r="R8" s="76" t="s">
        <v>63</v>
      </c>
      <c r="S8" s="79" t="str">
        <f>IFERROR(VLOOKUP(H8, Level_Map!A:B, 2, FALSE), "")</f>
        <v>L8</v>
      </c>
      <c r="T8" s="76" t="str">
        <f>IFERROR(VLOOKUP(I8, Function_BU_Map!A:B, 2, FALSE), "")</f>
        <v>Ops</v>
      </c>
      <c r="U8" s="76" t="str">
        <f t="shared" si="1"/>
        <v>Active</v>
      </c>
      <c r="V8" s="76" t="str">
        <f t="shared" si="2"/>
        <v>Q2 2022</v>
      </c>
      <c r="W8" s="76" t="str">
        <f t="shared" si="4"/>
        <v/>
      </c>
      <c r="X8" s="76">
        <f t="shared" si="3"/>
        <v>2022</v>
      </c>
      <c r="Y8" s="5"/>
      <c r="Z8" s="5"/>
    </row>
    <row r="9" ht="14.25" customHeight="1">
      <c r="A9" s="76" t="s">
        <v>146</v>
      </c>
      <c r="B9" s="76" t="s">
        <v>147</v>
      </c>
      <c r="C9" s="77">
        <v>45771.0</v>
      </c>
      <c r="D9" s="76" t="s">
        <v>148</v>
      </c>
      <c r="E9" s="76" t="s">
        <v>100</v>
      </c>
      <c r="F9" s="76" t="s">
        <v>101</v>
      </c>
      <c r="G9" s="76" t="s">
        <v>102</v>
      </c>
      <c r="H9" s="76" t="s">
        <v>149</v>
      </c>
      <c r="I9" s="76" t="s">
        <v>18</v>
      </c>
      <c r="J9" s="76" t="s">
        <v>119</v>
      </c>
      <c r="K9" s="76" t="s">
        <v>150</v>
      </c>
      <c r="L9" s="76"/>
      <c r="M9" s="76" t="s">
        <v>151</v>
      </c>
      <c r="N9" s="76" t="s">
        <v>152</v>
      </c>
      <c r="O9" s="76"/>
      <c r="P9" s="76" t="s">
        <v>46</v>
      </c>
      <c r="Q9" s="76"/>
      <c r="R9" s="76" t="s">
        <v>58</v>
      </c>
      <c r="S9" s="79" t="str">
        <f>IFERROR(VLOOKUP(H9, Level_Map!A:B, 2, FALSE), "")</f>
        <v>L1</v>
      </c>
      <c r="T9" s="76" t="str">
        <f>IFERROR(VLOOKUP(I9, Function_BU_Map!A:B, 2, FALSE), "")</f>
        <v>Corp</v>
      </c>
      <c r="U9" s="76" t="str">
        <f t="shared" si="1"/>
        <v>Active</v>
      </c>
      <c r="V9" s="76" t="str">
        <f t="shared" si="2"/>
        <v>Q2 2025</v>
      </c>
      <c r="W9" s="76" t="str">
        <f t="shared" si="4"/>
        <v/>
      </c>
      <c r="X9" s="76">
        <f t="shared" si="3"/>
        <v>2025</v>
      </c>
      <c r="Y9" s="5"/>
      <c r="Z9" s="5"/>
    </row>
    <row r="10" ht="14.25" customHeight="1">
      <c r="A10" s="76" t="s">
        <v>153</v>
      </c>
      <c r="B10" s="76" t="s">
        <v>154</v>
      </c>
      <c r="C10" s="77">
        <v>45426.0</v>
      </c>
      <c r="D10" s="76" t="s">
        <v>155</v>
      </c>
      <c r="E10" s="76" t="s">
        <v>88</v>
      </c>
      <c r="F10" s="76" t="s">
        <v>156</v>
      </c>
      <c r="G10" s="76" t="s">
        <v>90</v>
      </c>
      <c r="H10" s="76" t="s">
        <v>111</v>
      </c>
      <c r="I10" s="76" t="s">
        <v>16</v>
      </c>
      <c r="J10" s="76" t="s">
        <v>157</v>
      </c>
      <c r="K10" s="76" t="s">
        <v>158</v>
      </c>
      <c r="L10" s="76"/>
      <c r="M10" s="76" t="s">
        <v>159</v>
      </c>
      <c r="N10" s="76" t="s">
        <v>160</v>
      </c>
      <c r="O10" s="78">
        <v>45472.0</v>
      </c>
      <c r="P10" s="76" t="s">
        <v>26</v>
      </c>
      <c r="Q10" s="76" t="s">
        <v>36</v>
      </c>
      <c r="R10" s="76" t="s">
        <v>58</v>
      </c>
      <c r="S10" s="79" t="str">
        <f>IFERROR(VLOOKUP(H10, Level_Map!A:B, 2, FALSE), "")</f>
        <v>L3</v>
      </c>
      <c r="T10" s="76" t="str">
        <f>IFERROR(VLOOKUP(I10, Function_BU_Map!A:B, 2, FALSE), "")</f>
        <v>Tech</v>
      </c>
      <c r="U10" s="76" t="str">
        <f t="shared" si="1"/>
        <v>Exited</v>
      </c>
      <c r="V10" s="76" t="str">
        <f t="shared" si="2"/>
        <v>Q2 2024</v>
      </c>
      <c r="W10" s="76" t="str">
        <f t="shared" si="4"/>
        <v>Q2 2024</v>
      </c>
      <c r="X10" s="76">
        <f t="shared" si="3"/>
        <v>2024</v>
      </c>
      <c r="Y10" s="5"/>
      <c r="Z10" s="5"/>
    </row>
    <row r="11" ht="14.25" customHeight="1">
      <c r="A11" s="76" t="s">
        <v>161</v>
      </c>
      <c r="B11" s="76" t="s">
        <v>162</v>
      </c>
      <c r="C11" s="77">
        <v>44623.0</v>
      </c>
      <c r="D11" s="76" t="s">
        <v>163</v>
      </c>
      <c r="E11" s="76" t="s">
        <v>100</v>
      </c>
      <c r="F11" s="76" t="s">
        <v>101</v>
      </c>
      <c r="G11" s="76" t="s">
        <v>102</v>
      </c>
      <c r="H11" s="76" t="s">
        <v>164</v>
      </c>
      <c r="I11" s="76" t="s">
        <v>14</v>
      </c>
      <c r="J11" s="76" t="s">
        <v>136</v>
      </c>
      <c r="K11" s="76" t="s">
        <v>165</v>
      </c>
      <c r="L11" s="76"/>
      <c r="M11" s="76" t="s">
        <v>166</v>
      </c>
      <c r="N11" s="76" t="s">
        <v>167</v>
      </c>
      <c r="O11" s="76"/>
      <c r="P11" s="76" t="s">
        <v>168</v>
      </c>
      <c r="Q11" s="76"/>
      <c r="R11" s="76" t="s">
        <v>63</v>
      </c>
      <c r="S11" s="79" t="str">
        <f>IFERROR(VLOOKUP(H11, Level_Map!A:B, 2, FALSE), "")</f>
        <v>L5</v>
      </c>
      <c r="T11" s="76" t="str">
        <f>IFERROR(VLOOKUP(I11, Function_BU_Map!A:B, 2, FALSE), "")</f>
        <v>Tech</v>
      </c>
      <c r="U11" s="76" t="str">
        <f t="shared" si="1"/>
        <v>Active</v>
      </c>
      <c r="V11" s="76" t="str">
        <f t="shared" si="2"/>
        <v>Q1 2022</v>
      </c>
      <c r="W11" s="76" t="str">
        <f t="shared" si="4"/>
        <v/>
      </c>
      <c r="X11" s="76">
        <f t="shared" si="3"/>
        <v>2022</v>
      </c>
      <c r="Y11" s="5"/>
      <c r="Z11" s="5"/>
    </row>
    <row r="12" ht="14.25" customHeight="1">
      <c r="A12" s="76" t="s">
        <v>169</v>
      </c>
      <c r="B12" s="76" t="s">
        <v>170</v>
      </c>
      <c r="C12" s="77">
        <v>44753.0</v>
      </c>
      <c r="D12" s="76" t="s">
        <v>171</v>
      </c>
      <c r="E12" s="76" t="s">
        <v>100</v>
      </c>
      <c r="F12" s="76" t="s">
        <v>101</v>
      </c>
      <c r="G12" s="76" t="s">
        <v>90</v>
      </c>
      <c r="H12" s="76" t="s">
        <v>111</v>
      </c>
      <c r="I12" s="76" t="s">
        <v>18</v>
      </c>
      <c r="J12" s="76" t="s">
        <v>119</v>
      </c>
      <c r="K12" s="76" t="s">
        <v>172</v>
      </c>
      <c r="L12" s="76"/>
      <c r="M12" s="76" t="s">
        <v>173</v>
      </c>
      <c r="N12" s="76" t="s">
        <v>174</v>
      </c>
      <c r="O12" s="78">
        <v>45230.0</v>
      </c>
      <c r="P12" s="76" t="s">
        <v>175</v>
      </c>
      <c r="Q12" s="76" t="s">
        <v>35</v>
      </c>
      <c r="R12" s="76" t="s">
        <v>61</v>
      </c>
      <c r="S12" s="79" t="str">
        <f>IFERROR(VLOOKUP(H12, Level_Map!A:B, 2, FALSE), "")</f>
        <v>L3</v>
      </c>
      <c r="T12" s="76" t="str">
        <f>IFERROR(VLOOKUP(I12, Function_BU_Map!A:B, 2, FALSE), "")</f>
        <v>Corp</v>
      </c>
      <c r="U12" s="76" t="str">
        <f t="shared" si="1"/>
        <v>Exited</v>
      </c>
      <c r="V12" s="76" t="str">
        <f t="shared" si="2"/>
        <v>Q3 2022</v>
      </c>
      <c r="W12" s="76" t="str">
        <f t="shared" si="4"/>
        <v>Q4 2023</v>
      </c>
      <c r="X12" s="76">
        <f t="shared" si="3"/>
        <v>2022</v>
      </c>
      <c r="Y12" s="5"/>
      <c r="Z12" s="5"/>
    </row>
    <row r="13" ht="14.25" customHeight="1">
      <c r="A13" s="76" t="s">
        <v>176</v>
      </c>
      <c r="B13" s="76" t="s">
        <v>177</v>
      </c>
      <c r="C13" s="77">
        <v>45038.0</v>
      </c>
      <c r="D13" s="76" t="s">
        <v>178</v>
      </c>
      <c r="E13" s="76" t="s">
        <v>100</v>
      </c>
      <c r="F13" s="76" t="s">
        <v>101</v>
      </c>
      <c r="G13" s="76" t="s">
        <v>102</v>
      </c>
      <c r="H13" s="76" t="s">
        <v>103</v>
      </c>
      <c r="I13" s="76" t="s">
        <v>15</v>
      </c>
      <c r="J13" s="76" t="s">
        <v>92</v>
      </c>
      <c r="K13" s="76" t="s">
        <v>137</v>
      </c>
      <c r="L13" s="76"/>
      <c r="M13" s="76" t="s">
        <v>173</v>
      </c>
      <c r="N13" s="76" t="s">
        <v>179</v>
      </c>
      <c r="O13" s="76"/>
      <c r="P13" s="76" t="s">
        <v>180</v>
      </c>
      <c r="Q13" s="76"/>
      <c r="R13" s="76" t="s">
        <v>63</v>
      </c>
      <c r="S13" s="79" t="str">
        <f>IFERROR(VLOOKUP(H13, Level_Map!A:B, 2, FALSE), "")</f>
        <v>L8</v>
      </c>
      <c r="T13" s="76" t="str">
        <f>IFERROR(VLOOKUP(I13, Function_BU_Map!A:B, 2, FALSE), "")</f>
        <v>Ops</v>
      </c>
      <c r="U13" s="76" t="str">
        <f t="shared" si="1"/>
        <v>Active</v>
      </c>
      <c r="V13" s="76" t="str">
        <f t="shared" si="2"/>
        <v>Q2 2023</v>
      </c>
      <c r="W13" s="76" t="str">
        <f t="shared" si="4"/>
        <v/>
      </c>
      <c r="X13" s="76">
        <f t="shared" si="3"/>
        <v>2023</v>
      </c>
      <c r="Y13" s="5"/>
      <c r="Z13" s="5"/>
    </row>
    <row r="14" ht="14.25" customHeight="1">
      <c r="A14" s="76" t="s">
        <v>181</v>
      </c>
      <c r="B14" s="76" t="s">
        <v>182</v>
      </c>
      <c r="C14" s="77">
        <v>45596.0</v>
      </c>
      <c r="D14" s="76" t="s">
        <v>183</v>
      </c>
      <c r="E14" s="76" t="s">
        <v>100</v>
      </c>
      <c r="F14" s="76" t="s">
        <v>101</v>
      </c>
      <c r="G14" s="76" t="s">
        <v>90</v>
      </c>
      <c r="H14" s="76" t="s">
        <v>149</v>
      </c>
      <c r="I14" s="76" t="s">
        <v>15</v>
      </c>
      <c r="J14" s="76" t="s">
        <v>127</v>
      </c>
      <c r="K14" s="76" t="s">
        <v>137</v>
      </c>
      <c r="L14" s="76"/>
      <c r="M14" s="76" t="s">
        <v>159</v>
      </c>
      <c r="N14" s="76" t="s">
        <v>184</v>
      </c>
      <c r="O14" s="78">
        <v>45934.0</v>
      </c>
      <c r="P14" s="76" t="s">
        <v>30</v>
      </c>
      <c r="Q14" s="76" t="s">
        <v>31</v>
      </c>
      <c r="R14" s="76" t="s">
        <v>58</v>
      </c>
      <c r="S14" s="79" t="str">
        <f>IFERROR(VLOOKUP(H14, Level_Map!A:B, 2, FALSE), "")</f>
        <v>L1</v>
      </c>
      <c r="T14" s="76" t="str">
        <f>IFERROR(VLOOKUP(I14, Function_BU_Map!A:B, 2, FALSE), "")</f>
        <v>Ops</v>
      </c>
      <c r="U14" s="76" t="str">
        <f t="shared" si="1"/>
        <v>Exited</v>
      </c>
      <c r="V14" s="76" t="str">
        <f t="shared" si="2"/>
        <v>Q4 2024</v>
      </c>
      <c r="W14" s="76" t="str">
        <f t="shared" si="4"/>
        <v>Q4 2025</v>
      </c>
      <c r="X14" s="76">
        <f t="shared" si="3"/>
        <v>2024</v>
      </c>
      <c r="Y14" s="5"/>
      <c r="Z14" s="5"/>
    </row>
    <row r="15" ht="14.25" customHeight="1">
      <c r="A15" s="76" t="s">
        <v>185</v>
      </c>
      <c r="B15" s="76" t="s">
        <v>186</v>
      </c>
      <c r="C15" s="77">
        <v>44616.0</v>
      </c>
      <c r="D15" s="76" t="s">
        <v>187</v>
      </c>
      <c r="E15" s="76" t="s">
        <v>88</v>
      </c>
      <c r="F15" s="76" t="s">
        <v>101</v>
      </c>
      <c r="G15" s="76" t="s">
        <v>90</v>
      </c>
      <c r="H15" s="76" t="s">
        <v>118</v>
      </c>
      <c r="I15" s="76" t="s">
        <v>18</v>
      </c>
      <c r="J15" s="76" t="s">
        <v>92</v>
      </c>
      <c r="K15" s="76" t="s">
        <v>188</v>
      </c>
      <c r="L15" s="76"/>
      <c r="M15" s="76" t="s">
        <v>189</v>
      </c>
      <c r="N15" s="76" t="s">
        <v>122</v>
      </c>
      <c r="O15" s="78">
        <v>45795.0</v>
      </c>
      <c r="P15" s="76" t="s">
        <v>107</v>
      </c>
      <c r="Q15" s="76" t="s">
        <v>41</v>
      </c>
      <c r="R15" s="76" t="s">
        <v>63</v>
      </c>
      <c r="S15" s="79" t="str">
        <f>IFERROR(VLOOKUP(H15, Level_Map!A:B, 2, FALSE), "")</f>
        <v>L4</v>
      </c>
      <c r="T15" s="76" t="str">
        <f>IFERROR(VLOOKUP(I15, Function_BU_Map!A:B, 2, FALSE), "")</f>
        <v>Corp</v>
      </c>
      <c r="U15" s="76" t="str">
        <f t="shared" si="1"/>
        <v>Exited</v>
      </c>
      <c r="V15" s="76" t="str">
        <f t="shared" si="2"/>
        <v>Q1 2022</v>
      </c>
      <c r="W15" s="76" t="str">
        <f t="shared" si="4"/>
        <v>Q2 2025</v>
      </c>
      <c r="X15" s="76">
        <f t="shared" si="3"/>
        <v>2022</v>
      </c>
      <c r="Y15" s="5"/>
      <c r="Z15" s="5"/>
    </row>
    <row r="16" ht="14.25" customHeight="1">
      <c r="A16" s="76" t="s">
        <v>190</v>
      </c>
      <c r="B16" s="76" t="s">
        <v>191</v>
      </c>
      <c r="C16" s="77">
        <v>44969.0</v>
      </c>
      <c r="D16" s="76" t="s">
        <v>192</v>
      </c>
      <c r="E16" s="76" t="s">
        <v>88</v>
      </c>
      <c r="F16" s="76" t="s">
        <v>101</v>
      </c>
      <c r="G16" s="76" t="s">
        <v>102</v>
      </c>
      <c r="H16" s="76" t="s">
        <v>164</v>
      </c>
      <c r="I16" s="76" t="s">
        <v>18</v>
      </c>
      <c r="J16" s="76" t="s">
        <v>193</v>
      </c>
      <c r="K16" s="76" t="s">
        <v>172</v>
      </c>
      <c r="L16" s="76"/>
      <c r="M16" s="76" t="s">
        <v>194</v>
      </c>
      <c r="N16" s="76" t="s">
        <v>195</v>
      </c>
      <c r="O16" s="76"/>
      <c r="P16" s="76" t="s">
        <v>196</v>
      </c>
      <c r="Q16" s="76"/>
      <c r="R16" s="76" t="s">
        <v>63</v>
      </c>
      <c r="S16" s="79" t="str">
        <f>IFERROR(VLOOKUP(H16, Level_Map!A:B, 2, FALSE), "")</f>
        <v>L5</v>
      </c>
      <c r="T16" s="76" t="str">
        <f>IFERROR(VLOOKUP(I16, Function_BU_Map!A:B, 2, FALSE), "")</f>
        <v>Corp</v>
      </c>
      <c r="U16" s="76" t="str">
        <f t="shared" si="1"/>
        <v>Active</v>
      </c>
      <c r="V16" s="76" t="str">
        <f t="shared" si="2"/>
        <v>Q1 2023</v>
      </c>
      <c r="W16" s="76" t="str">
        <f t="shared" si="4"/>
        <v/>
      </c>
      <c r="X16" s="76">
        <f t="shared" si="3"/>
        <v>2023</v>
      </c>
      <c r="Y16" s="5"/>
      <c r="Z16" s="5"/>
    </row>
    <row r="17" ht="14.25" customHeight="1">
      <c r="A17" s="76" t="s">
        <v>197</v>
      </c>
      <c r="B17" s="76" t="s">
        <v>198</v>
      </c>
      <c r="C17" s="77">
        <v>45892.0</v>
      </c>
      <c r="D17" s="76" t="s">
        <v>199</v>
      </c>
      <c r="E17" s="76" t="s">
        <v>88</v>
      </c>
      <c r="F17" s="76" t="s">
        <v>200</v>
      </c>
      <c r="G17" s="76" t="s">
        <v>102</v>
      </c>
      <c r="H17" s="76" t="s">
        <v>111</v>
      </c>
      <c r="I17" s="76" t="s">
        <v>16</v>
      </c>
      <c r="J17" s="76" t="s">
        <v>119</v>
      </c>
      <c r="K17" s="76" t="s">
        <v>201</v>
      </c>
      <c r="L17" s="76"/>
      <c r="M17" s="76" t="s">
        <v>166</v>
      </c>
      <c r="N17" s="76" t="s">
        <v>130</v>
      </c>
      <c r="O17" s="76"/>
      <c r="P17" s="76" t="s">
        <v>96</v>
      </c>
      <c r="Q17" s="76"/>
      <c r="R17" s="76" t="s">
        <v>58</v>
      </c>
      <c r="S17" s="79" t="str">
        <f>IFERROR(VLOOKUP(H17, Level_Map!A:B, 2, FALSE), "")</f>
        <v>L3</v>
      </c>
      <c r="T17" s="76" t="str">
        <f>IFERROR(VLOOKUP(I17, Function_BU_Map!A:B, 2, FALSE), "")</f>
        <v>Tech</v>
      </c>
      <c r="U17" s="76" t="str">
        <f t="shared" si="1"/>
        <v>Active</v>
      </c>
      <c r="V17" s="76" t="str">
        <f t="shared" si="2"/>
        <v>Q3 2025</v>
      </c>
      <c r="W17" s="76" t="str">
        <f t="shared" si="4"/>
        <v/>
      </c>
      <c r="X17" s="76">
        <f t="shared" si="3"/>
        <v>2025</v>
      </c>
      <c r="Y17" s="5"/>
      <c r="Z17" s="5"/>
    </row>
    <row r="18" ht="14.25" customHeight="1">
      <c r="A18" s="76" t="s">
        <v>202</v>
      </c>
      <c r="B18" s="76" t="s">
        <v>203</v>
      </c>
      <c r="C18" s="77">
        <v>45678.0</v>
      </c>
      <c r="D18" s="76" t="s">
        <v>204</v>
      </c>
      <c r="E18" s="76" t="s">
        <v>88</v>
      </c>
      <c r="F18" s="76" t="s">
        <v>101</v>
      </c>
      <c r="G18" s="76" t="s">
        <v>102</v>
      </c>
      <c r="H18" s="76" t="s">
        <v>118</v>
      </c>
      <c r="I18" s="76" t="s">
        <v>14</v>
      </c>
      <c r="J18" s="76" t="s">
        <v>157</v>
      </c>
      <c r="K18" s="76" t="s">
        <v>165</v>
      </c>
      <c r="L18" s="76"/>
      <c r="M18" s="76" t="s">
        <v>113</v>
      </c>
      <c r="N18" s="76" t="s">
        <v>195</v>
      </c>
      <c r="O18" s="76"/>
      <c r="P18" s="76" t="s">
        <v>60</v>
      </c>
      <c r="Q18" s="76"/>
      <c r="R18" s="76" t="s">
        <v>58</v>
      </c>
      <c r="S18" s="79" t="str">
        <f>IFERROR(VLOOKUP(H18, Level_Map!A:B, 2, FALSE), "")</f>
        <v>L4</v>
      </c>
      <c r="T18" s="76" t="str">
        <f>IFERROR(VLOOKUP(I18, Function_BU_Map!A:B, 2, FALSE), "")</f>
        <v>Tech</v>
      </c>
      <c r="U18" s="76" t="str">
        <f t="shared" si="1"/>
        <v>Active</v>
      </c>
      <c r="V18" s="76" t="str">
        <f t="shared" si="2"/>
        <v>Q1 2025</v>
      </c>
      <c r="W18" s="76" t="str">
        <f t="shared" si="4"/>
        <v/>
      </c>
      <c r="X18" s="76">
        <f t="shared" si="3"/>
        <v>2025</v>
      </c>
      <c r="Y18" s="5"/>
      <c r="Z18" s="5"/>
    </row>
    <row r="19" ht="14.25" customHeight="1">
      <c r="A19" s="76" t="s">
        <v>205</v>
      </c>
      <c r="B19" s="76" t="s">
        <v>206</v>
      </c>
      <c r="C19" s="77">
        <v>45421.0</v>
      </c>
      <c r="D19" s="76" t="s">
        <v>207</v>
      </c>
      <c r="E19" s="76" t="s">
        <v>88</v>
      </c>
      <c r="F19" s="76" t="s">
        <v>101</v>
      </c>
      <c r="G19" s="76" t="s">
        <v>90</v>
      </c>
      <c r="H19" s="76" t="s">
        <v>111</v>
      </c>
      <c r="I19" s="76" t="s">
        <v>14</v>
      </c>
      <c r="J19" s="76" t="s">
        <v>157</v>
      </c>
      <c r="K19" s="76" t="s">
        <v>208</v>
      </c>
      <c r="L19" s="76"/>
      <c r="M19" s="76" t="s">
        <v>194</v>
      </c>
      <c r="N19" s="76" t="s">
        <v>122</v>
      </c>
      <c r="O19" s="78">
        <v>45563.0</v>
      </c>
      <c r="P19" s="76" t="s">
        <v>26</v>
      </c>
      <c r="Q19" s="76" t="s">
        <v>32</v>
      </c>
      <c r="R19" s="76" t="s">
        <v>58</v>
      </c>
      <c r="S19" s="79" t="str">
        <f>IFERROR(VLOOKUP(H19, Level_Map!A:B, 2, FALSE), "")</f>
        <v>L3</v>
      </c>
      <c r="T19" s="76" t="str">
        <f>IFERROR(VLOOKUP(I19, Function_BU_Map!A:B, 2, FALSE), "")</f>
        <v>Tech</v>
      </c>
      <c r="U19" s="76" t="str">
        <f t="shared" si="1"/>
        <v>Exited</v>
      </c>
      <c r="V19" s="76" t="str">
        <f t="shared" si="2"/>
        <v>Q2 2024</v>
      </c>
      <c r="W19" s="76" t="str">
        <f t="shared" si="4"/>
        <v>Q3 2024</v>
      </c>
      <c r="X19" s="76">
        <f t="shared" si="3"/>
        <v>2024</v>
      </c>
      <c r="Y19" s="5"/>
      <c r="Z19" s="5"/>
    </row>
    <row r="20" ht="14.25" customHeight="1">
      <c r="A20" s="76" t="s">
        <v>209</v>
      </c>
      <c r="B20" s="76" t="s">
        <v>210</v>
      </c>
      <c r="C20" s="77">
        <v>45481.0</v>
      </c>
      <c r="D20" s="76" t="s">
        <v>211</v>
      </c>
      <c r="E20" s="76" t="s">
        <v>88</v>
      </c>
      <c r="F20" s="76" t="s">
        <v>101</v>
      </c>
      <c r="G20" s="76" t="s">
        <v>102</v>
      </c>
      <c r="H20" s="76" t="s">
        <v>164</v>
      </c>
      <c r="I20" s="76" t="s">
        <v>16</v>
      </c>
      <c r="J20" s="76" t="s">
        <v>136</v>
      </c>
      <c r="K20" s="76" t="s">
        <v>158</v>
      </c>
      <c r="L20" s="76"/>
      <c r="M20" s="76" t="s">
        <v>173</v>
      </c>
      <c r="N20" s="76" t="s">
        <v>212</v>
      </c>
      <c r="O20" s="76"/>
      <c r="P20" s="76" t="s">
        <v>34</v>
      </c>
      <c r="Q20" s="76"/>
      <c r="R20" s="76" t="s">
        <v>61</v>
      </c>
      <c r="S20" s="79" t="str">
        <f>IFERROR(VLOOKUP(H20, Level_Map!A:B, 2, FALSE), "")</f>
        <v>L5</v>
      </c>
      <c r="T20" s="76" t="str">
        <f>IFERROR(VLOOKUP(I20, Function_BU_Map!A:B, 2, FALSE), "")</f>
        <v>Tech</v>
      </c>
      <c r="U20" s="76" t="str">
        <f t="shared" si="1"/>
        <v>Active</v>
      </c>
      <c r="V20" s="76" t="str">
        <f t="shared" si="2"/>
        <v>Q3 2024</v>
      </c>
      <c r="W20" s="76" t="str">
        <f t="shared" si="4"/>
        <v/>
      </c>
      <c r="X20" s="76">
        <f t="shared" si="3"/>
        <v>2024</v>
      </c>
      <c r="Y20" s="5"/>
      <c r="Z20" s="5"/>
    </row>
    <row r="21" ht="14.25" customHeight="1">
      <c r="A21" s="76" t="s">
        <v>213</v>
      </c>
      <c r="B21" s="76" t="s">
        <v>214</v>
      </c>
      <c r="C21" s="77">
        <v>45768.0</v>
      </c>
      <c r="D21" s="76" t="s">
        <v>215</v>
      </c>
      <c r="E21" s="76" t="s">
        <v>100</v>
      </c>
      <c r="F21" s="76" t="s">
        <v>101</v>
      </c>
      <c r="G21" s="76" t="s">
        <v>102</v>
      </c>
      <c r="H21" s="76" t="s">
        <v>91</v>
      </c>
      <c r="I21" s="76" t="s">
        <v>15</v>
      </c>
      <c r="J21" s="76" t="s">
        <v>193</v>
      </c>
      <c r="K21" s="76" t="s">
        <v>143</v>
      </c>
      <c r="L21" s="76"/>
      <c r="M21" s="76" t="s">
        <v>94</v>
      </c>
      <c r="N21" s="76" t="s">
        <v>216</v>
      </c>
      <c r="O21" s="76"/>
      <c r="P21" s="76" t="s">
        <v>46</v>
      </c>
      <c r="Q21" s="76"/>
      <c r="R21" s="76" t="s">
        <v>58</v>
      </c>
      <c r="S21" s="79" t="str">
        <f>IFERROR(VLOOKUP(H21, Level_Map!A:B, 2, FALSE), "")</f>
        <v>L2</v>
      </c>
      <c r="T21" s="76" t="str">
        <f>IFERROR(VLOOKUP(I21, Function_BU_Map!A:B, 2, FALSE), "")</f>
        <v>Ops</v>
      </c>
      <c r="U21" s="76" t="str">
        <f t="shared" si="1"/>
        <v>Active</v>
      </c>
      <c r="V21" s="76" t="str">
        <f t="shared" si="2"/>
        <v>Q2 2025</v>
      </c>
      <c r="W21" s="76" t="str">
        <f t="shared" si="4"/>
        <v/>
      </c>
      <c r="X21" s="76">
        <f t="shared" si="3"/>
        <v>2025</v>
      </c>
      <c r="Y21" s="5"/>
      <c r="Z21" s="5"/>
    </row>
    <row r="22" ht="14.25" customHeight="1">
      <c r="A22" s="76" t="s">
        <v>217</v>
      </c>
      <c r="B22" s="76" t="s">
        <v>218</v>
      </c>
      <c r="C22" s="77">
        <v>45131.0</v>
      </c>
      <c r="D22" s="76" t="s">
        <v>219</v>
      </c>
      <c r="E22" s="76" t="s">
        <v>88</v>
      </c>
      <c r="F22" s="76" t="s">
        <v>101</v>
      </c>
      <c r="G22" s="76" t="s">
        <v>102</v>
      </c>
      <c r="H22" s="76" t="s">
        <v>111</v>
      </c>
      <c r="I22" s="76" t="s">
        <v>16</v>
      </c>
      <c r="J22" s="76" t="s">
        <v>193</v>
      </c>
      <c r="K22" s="76" t="s">
        <v>112</v>
      </c>
      <c r="L22" s="76"/>
      <c r="M22" s="76" t="s">
        <v>151</v>
      </c>
      <c r="N22" s="76" t="s">
        <v>212</v>
      </c>
      <c r="O22" s="76"/>
      <c r="P22" s="76" t="s">
        <v>57</v>
      </c>
      <c r="Q22" s="76"/>
      <c r="R22" s="76" t="s">
        <v>63</v>
      </c>
      <c r="S22" s="79" t="str">
        <f>IFERROR(VLOOKUP(H22, Level_Map!A:B, 2, FALSE), "")</f>
        <v>L3</v>
      </c>
      <c r="T22" s="76" t="str">
        <f>IFERROR(VLOOKUP(I22, Function_BU_Map!A:B, 2, FALSE), "")</f>
        <v>Tech</v>
      </c>
      <c r="U22" s="76" t="str">
        <f t="shared" si="1"/>
        <v>Active</v>
      </c>
      <c r="V22" s="76" t="str">
        <f t="shared" si="2"/>
        <v>Q3 2023</v>
      </c>
      <c r="W22" s="76" t="str">
        <f t="shared" si="4"/>
        <v/>
      </c>
      <c r="X22" s="76">
        <f t="shared" si="3"/>
        <v>2023</v>
      </c>
      <c r="Y22" s="5"/>
      <c r="Z22" s="5"/>
    </row>
    <row r="23" ht="14.25" customHeight="1">
      <c r="A23" s="76" t="s">
        <v>220</v>
      </c>
      <c r="B23" s="76" t="s">
        <v>221</v>
      </c>
      <c r="C23" s="77">
        <v>44575.0</v>
      </c>
      <c r="D23" s="76" t="s">
        <v>222</v>
      </c>
      <c r="E23" s="76" t="s">
        <v>88</v>
      </c>
      <c r="F23" s="76" t="s">
        <v>101</v>
      </c>
      <c r="G23" s="76" t="s">
        <v>90</v>
      </c>
      <c r="H23" s="76" t="s">
        <v>111</v>
      </c>
      <c r="I23" s="76" t="s">
        <v>21</v>
      </c>
      <c r="J23" s="76" t="s">
        <v>119</v>
      </c>
      <c r="K23" s="76" t="s">
        <v>223</v>
      </c>
      <c r="L23" s="76"/>
      <c r="M23" s="76" t="s">
        <v>224</v>
      </c>
      <c r="N23" s="76" t="s">
        <v>225</v>
      </c>
      <c r="O23" s="78">
        <v>44931.0</v>
      </c>
      <c r="P23" s="76" t="s">
        <v>226</v>
      </c>
      <c r="Q23" s="76" t="s">
        <v>62</v>
      </c>
      <c r="R23" s="76" t="s">
        <v>58</v>
      </c>
      <c r="S23" s="79" t="str">
        <f>IFERROR(VLOOKUP(H23, Level_Map!A:B, 2, FALSE), "")</f>
        <v>L3</v>
      </c>
      <c r="T23" s="76" t="str">
        <f>IFERROR(VLOOKUP(I23, Function_BU_Map!A:B, 2, FALSE), "")</f>
        <v>Corp</v>
      </c>
      <c r="U23" s="76" t="str">
        <f t="shared" si="1"/>
        <v>Exited</v>
      </c>
      <c r="V23" s="76" t="str">
        <f t="shared" si="2"/>
        <v>Q1 2022</v>
      </c>
      <c r="W23" s="76" t="str">
        <f t="shared" si="4"/>
        <v>Q1 2023</v>
      </c>
      <c r="X23" s="76">
        <f t="shared" si="3"/>
        <v>2022</v>
      </c>
      <c r="Y23" s="5"/>
      <c r="Z23" s="5"/>
    </row>
    <row r="24" ht="14.25" customHeight="1">
      <c r="A24" s="76" t="s">
        <v>227</v>
      </c>
      <c r="B24" s="76" t="s">
        <v>228</v>
      </c>
      <c r="C24" s="77">
        <v>45427.0</v>
      </c>
      <c r="D24" s="76" t="s">
        <v>229</v>
      </c>
      <c r="E24" s="76" t="s">
        <v>88</v>
      </c>
      <c r="F24" s="76" t="s">
        <v>101</v>
      </c>
      <c r="G24" s="76" t="s">
        <v>102</v>
      </c>
      <c r="H24" s="76" t="s">
        <v>230</v>
      </c>
      <c r="I24" s="76" t="s">
        <v>19</v>
      </c>
      <c r="J24" s="76" t="s">
        <v>127</v>
      </c>
      <c r="K24" s="76" t="s">
        <v>231</v>
      </c>
      <c r="L24" s="76"/>
      <c r="M24" s="76" t="s">
        <v>232</v>
      </c>
      <c r="N24" s="76" t="s">
        <v>179</v>
      </c>
      <c r="O24" s="76"/>
      <c r="P24" s="76" t="s">
        <v>26</v>
      </c>
      <c r="Q24" s="76"/>
      <c r="R24" s="76" t="s">
        <v>61</v>
      </c>
      <c r="S24" s="79" t="str">
        <f>IFERROR(VLOOKUP(H24, Level_Map!A:B, 2, FALSE), "")</f>
        <v>L6</v>
      </c>
      <c r="T24" s="76" t="str">
        <f>IFERROR(VLOOKUP(I24, Function_BU_Map!A:B, 2, FALSE), "")</f>
        <v>Tech</v>
      </c>
      <c r="U24" s="76" t="str">
        <f t="shared" si="1"/>
        <v>Active</v>
      </c>
      <c r="V24" s="76" t="str">
        <f t="shared" si="2"/>
        <v>Q2 2024</v>
      </c>
      <c r="W24" s="76" t="str">
        <f t="shared" si="4"/>
        <v/>
      </c>
      <c r="X24" s="76">
        <f t="shared" si="3"/>
        <v>2024</v>
      </c>
      <c r="Y24" s="5"/>
      <c r="Z24" s="5"/>
    </row>
    <row r="25" ht="14.25" customHeight="1">
      <c r="A25" s="76" t="s">
        <v>233</v>
      </c>
      <c r="B25" s="76" t="s">
        <v>234</v>
      </c>
      <c r="C25" s="77">
        <v>45258.0</v>
      </c>
      <c r="D25" s="76" t="s">
        <v>235</v>
      </c>
      <c r="E25" s="76" t="s">
        <v>88</v>
      </c>
      <c r="F25" s="76" t="s">
        <v>101</v>
      </c>
      <c r="G25" s="76" t="s">
        <v>102</v>
      </c>
      <c r="H25" s="76" t="s">
        <v>103</v>
      </c>
      <c r="I25" s="76" t="s">
        <v>14</v>
      </c>
      <c r="J25" s="76" t="s">
        <v>127</v>
      </c>
      <c r="K25" s="76" t="s">
        <v>208</v>
      </c>
      <c r="L25" s="76"/>
      <c r="M25" s="76" t="s">
        <v>236</v>
      </c>
      <c r="N25" s="76" t="s">
        <v>106</v>
      </c>
      <c r="O25" s="76"/>
      <c r="P25" s="76" t="s">
        <v>237</v>
      </c>
      <c r="Q25" s="76"/>
      <c r="R25" s="76" t="s">
        <v>61</v>
      </c>
      <c r="S25" s="79" t="str">
        <f>IFERROR(VLOOKUP(H25, Level_Map!A:B, 2, FALSE), "")</f>
        <v>L8</v>
      </c>
      <c r="T25" s="76" t="str">
        <f>IFERROR(VLOOKUP(I25, Function_BU_Map!A:B, 2, FALSE), "")</f>
        <v>Tech</v>
      </c>
      <c r="U25" s="76" t="str">
        <f t="shared" si="1"/>
        <v>Active</v>
      </c>
      <c r="V25" s="76" t="str">
        <f t="shared" si="2"/>
        <v>Q4 2023</v>
      </c>
      <c r="W25" s="76" t="str">
        <f t="shared" si="4"/>
        <v/>
      </c>
      <c r="X25" s="76">
        <f t="shared" si="3"/>
        <v>2023</v>
      </c>
      <c r="Y25" s="5"/>
      <c r="Z25" s="5"/>
    </row>
    <row r="26" ht="14.25" customHeight="1">
      <c r="A26" s="76" t="s">
        <v>238</v>
      </c>
      <c r="B26" s="76" t="s">
        <v>239</v>
      </c>
      <c r="C26" s="77">
        <v>45131.0</v>
      </c>
      <c r="D26" s="76" t="s">
        <v>240</v>
      </c>
      <c r="E26" s="76" t="s">
        <v>241</v>
      </c>
      <c r="F26" s="76" t="s">
        <v>89</v>
      </c>
      <c r="G26" s="76" t="s">
        <v>102</v>
      </c>
      <c r="H26" s="76" t="s">
        <v>91</v>
      </c>
      <c r="I26" s="76" t="s">
        <v>15</v>
      </c>
      <c r="J26" s="76" t="s">
        <v>157</v>
      </c>
      <c r="K26" s="76" t="s">
        <v>137</v>
      </c>
      <c r="L26" s="76"/>
      <c r="M26" s="76" t="s">
        <v>151</v>
      </c>
      <c r="N26" s="76" t="s">
        <v>174</v>
      </c>
      <c r="O26" s="76"/>
      <c r="P26" s="76" t="s">
        <v>57</v>
      </c>
      <c r="Q26" s="76"/>
      <c r="R26" s="76" t="s">
        <v>63</v>
      </c>
      <c r="S26" s="79" t="str">
        <f>IFERROR(VLOOKUP(H26, Level_Map!A:B, 2, FALSE), "")</f>
        <v>L2</v>
      </c>
      <c r="T26" s="76" t="str">
        <f>IFERROR(VLOOKUP(I26, Function_BU_Map!A:B, 2, FALSE), "")</f>
        <v>Ops</v>
      </c>
      <c r="U26" s="76" t="str">
        <f t="shared" si="1"/>
        <v>Active</v>
      </c>
      <c r="V26" s="76" t="str">
        <f t="shared" si="2"/>
        <v>Q3 2023</v>
      </c>
      <c r="W26" s="76" t="str">
        <f t="shared" si="4"/>
        <v/>
      </c>
      <c r="X26" s="76">
        <f t="shared" si="3"/>
        <v>2023</v>
      </c>
      <c r="Y26" s="5"/>
      <c r="Z26" s="5"/>
    </row>
    <row r="27" ht="14.25" customHeight="1">
      <c r="A27" s="76" t="s">
        <v>242</v>
      </c>
      <c r="B27" s="76" t="s">
        <v>243</v>
      </c>
      <c r="C27" s="77">
        <v>44880.0</v>
      </c>
      <c r="D27" s="76" t="s">
        <v>244</v>
      </c>
      <c r="E27" s="76" t="s">
        <v>100</v>
      </c>
      <c r="F27" s="76" t="s">
        <v>101</v>
      </c>
      <c r="G27" s="76" t="s">
        <v>102</v>
      </c>
      <c r="H27" s="76" t="s">
        <v>91</v>
      </c>
      <c r="I27" s="76" t="s">
        <v>18</v>
      </c>
      <c r="J27" s="76" t="s">
        <v>157</v>
      </c>
      <c r="K27" s="76" t="s">
        <v>188</v>
      </c>
      <c r="L27" s="76"/>
      <c r="M27" s="76" t="s">
        <v>224</v>
      </c>
      <c r="N27" s="76" t="s">
        <v>114</v>
      </c>
      <c r="O27" s="76"/>
      <c r="P27" s="76" t="s">
        <v>245</v>
      </c>
      <c r="Q27" s="76"/>
      <c r="R27" s="76" t="s">
        <v>63</v>
      </c>
      <c r="S27" s="79" t="str">
        <f>IFERROR(VLOOKUP(H27, Level_Map!A:B, 2, FALSE), "")</f>
        <v>L2</v>
      </c>
      <c r="T27" s="76" t="str">
        <f>IFERROR(VLOOKUP(I27, Function_BU_Map!A:B, 2, FALSE), "")</f>
        <v>Corp</v>
      </c>
      <c r="U27" s="76" t="str">
        <f t="shared" si="1"/>
        <v>Active</v>
      </c>
      <c r="V27" s="76" t="str">
        <f t="shared" si="2"/>
        <v>Q4 2022</v>
      </c>
      <c r="W27" s="76" t="str">
        <f t="shared" si="4"/>
        <v/>
      </c>
      <c r="X27" s="76">
        <f t="shared" si="3"/>
        <v>2022</v>
      </c>
      <c r="Y27" s="5"/>
      <c r="Z27" s="5"/>
    </row>
    <row r="28" ht="14.25" customHeight="1">
      <c r="A28" s="76" t="s">
        <v>246</v>
      </c>
      <c r="B28" s="76" t="s">
        <v>247</v>
      </c>
      <c r="C28" s="77">
        <v>45002.0</v>
      </c>
      <c r="D28" s="76" t="s">
        <v>248</v>
      </c>
      <c r="E28" s="76" t="s">
        <v>88</v>
      </c>
      <c r="F28" s="76" t="s">
        <v>101</v>
      </c>
      <c r="G28" s="76" t="s">
        <v>102</v>
      </c>
      <c r="H28" s="76" t="s">
        <v>118</v>
      </c>
      <c r="I28" s="76" t="s">
        <v>14</v>
      </c>
      <c r="J28" s="76" t="s">
        <v>193</v>
      </c>
      <c r="K28" s="76" t="s">
        <v>208</v>
      </c>
      <c r="L28" s="76"/>
      <c r="M28" s="76" t="s">
        <v>151</v>
      </c>
      <c r="N28" s="76" t="s">
        <v>160</v>
      </c>
      <c r="O28" s="76"/>
      <c r="P28" s="76" t="s">
        <v>249</v>
      </c>
      <c r="Q28" s="76"/>
      <c r="R28" s="76" t="s">
        <v>63</v>
      </c>
      <c r="S28" s="79" t="str">
        <f>IFERROR(VLOOKUP(H28, Level_Map!A:B, 2, FALSE), "")</f>
        <v>L4</v>
      </c>
      <c r="T28" s="76" t="str">
        <f>IFERROR(VLOOKUP(I28, Function_BU_Map!A:B, 2, FALSE), "")</f>
        <v>Tech</v>
      </c>
      <c r="U28" s="76" t="str">
        <f t="shared" si="1"/>
        <v>Active</v>
      </c>
      <c r="V28" s="76" t="str">
        <f t="shared" si="2"/>
        <v>Q1 2023</v>
      </c>
      <c r="W28" s="76" t="str">
        <f t="shared" si="4"/>
        <v/>
      </c>
      <c r="X28" s="76">
        <f t="shared" si="3"/>
        <v>2023</v>
      </c>
      <c r="Y28" s="5"/>
      <c r="Z28" s="5"/>
    </row>
    <row r="29" ht="14.25" customHeight="1">
      <c r="A29" s="76" t="s">
        <v>250</v>
      </c>
      <c r="B29" s="76" t="s">
        <v>251</v>
      </c>
      <c r="C29" s="77">
        <v>45251.0</v>
      </c>
      <c r="D29" s="76" t="s">
        <v>252</v>
      </c>
      <c r="E29" s="76" t="s">
        <v>88</v>
      </c>
      <c r="F29" s="76" t="s">
        <v>101</v>
      </c>
      <c r="G29" s="76" t="s">
        <v>102</v>
      </c>
      <c r="H29" s="76" t="s">
        <v>164</v>
      </c>
      <c r="I29" s="76" t="s">
        <v>15</v>
      </c>
      <c r="J29" s="76" t="s">
        <v>136</v>
      </c>
      <c r="K29" s="76" t="s">
        <v>137</v>
      </c>
      <c r="L29" s="76"/>
      <c r="M29" s="76" t="s">
        <v>194</v>
      </c>
      <c r="N29" s="76" t="s">
        <v>225</v>
      </c>
      <c r="O29" s="76"/>
      <c r="P29" s="76" t="s">
        <v>237</v>
      </c>
      <c r="Q29" s="76"/>
      <c r="R29" s="76" t="s">
        <v>61</v>
      </c>
      <c r="S29" s="79" t="str">
        <f>IFERROR(VLOOKUP(H29, Level_Map!A:B, 2, FALSE), "")</f>
        <v>L5</v>
      </c>
      <c r="T29" s="76" t="str">
        <f>IFERROR(VLOOKUP(I29, Function_BU_Map!A:B, 2, FALSE), "")</f>
        <v>Ops</v>
      </c>
      <c r="U29" s="76" t="str">
        <f t="shared" si="1"/>
        <v>Active</v>
      </c>
      <c r="V29" s="76" t="str">
        <f t="shared" si="2"/>
        <v>Q4 2023</v>
      </c>
      <c r="W29" s="76" t="str">
        <f t="shared" si="4"/>
        <v/>
      </c>
      <c r="X29" s="76">
        <f t="shared" si="3"/>
        <v>2023</v>
      </c>
      <c r="Y29" s="5"/>
      <c r="Z29" s="5"/>
    </row>
    <row r="30" ht="14.25" customHeight="1">
      <c r="A30" s="76" t="s">
        <v>253</v>
      </c>
      <c r="B30" s="76" t="s">
        <v>254</v>
      </c>
      <c r="C30" s="77">
        <v>44771.0</v>
      </c>
      <c r="D30" s="76" t="s">
        <v>255</v>
      </c>
      <c r="E30" s="76" t="s">
        <v>100</v>
      </c>
      <c r="F30" s="76" t="s">
        <v>101</v>
      </c>
      <c r="G30" s="76" t="s">
        <v>102</v>
      </c>
      <c r="H30" s="76" t="s">
        <v>118</v>
      </c>
      <c r="I30" s="76" t="s">
        <v>15</v>
      </c>
      <c r="J30" s="76" t="s">
        <v>92</v>
      </c>
      <c r="K30" s="76" t="s">
        <v>143</v>
      </c>
      <c r="L30" s="76"/>
      <c r="M30" s="76" t="s">
        <v>129</v>
      </c>
      <c r="N30" s="76" t="s">
        <v>256</v>
      </c>
      <c r="O30" s="76"/>
      <c r="P30" s="76" t="s">
        <v>175</v>
      </c>
      <c r="Q30" s="76"/>
      <c r="R30" s="76" t="s">
        <v>63</v>
      </c>
      <c r="S30" s="79" t="str">
        <f>IFERROR(VLOOKUP(H30, Level_Map!A:B, 2, FALSE), "")</f>
        <v>L4</v>
      </c>
      <c r="T30" s="76" t="str">
        <f>IFERROR(VLOOKUP(I30, Function_BU_Map!A:B, 2, FALSE), "")</f>
        <v>Ops</v>
      </c>
      <c r="U30" s="76" t="str">
        <f t="shared" si="1"/>
        <v>Active</v>
      </c>
      <c r="V30" s="76" t="str">
        <f t="shared" si="2"/>
        <v>Q3 2022</v>
      </c>
      <c r="W30" s="76" t="str">
        <f t="shared" si="4"/>
        <v/>
      </c>
      <c r="X30" s="76">
        <f t="shared" si="3"/>
        <v>2022</v>
      </c>
      <c r="Y30" s="5"/>
      <c r="Z30" s="5"/>
    </row>
    <row r="31" ht="14.25" customHeight="1">
      <c r="A31" s="76" t="s">
        <v>257</v>
      </c>
      <c r="B31" s="76" t="s">
        <v>258</v>
      </c>
      <c r="C31" s="77">
        <v>44751.0</v>
      </c>
      <c r="D31" s="76" t="s">
        <v>259</v>
      </c>
      <c r="E31" s="76" t="s">
        <v>88</v>
      </c>
      <c r="F31" s="76" t="s">
        <v>101</v>
      </c>
      <c r="G31" s="76" t="s">
        <v>102</v>
      </c>
      <c r="H31" s="76" t="s">
        <v>164</v>
      </c>
      <c r="I31" s="76" t="s">
        <v>15</v>
      </c>
      <c r="J31" s="76" t="s">
        <v>119</v>
      </c>
      <c r="K31" s="76" t="s">
        <v>260</v>
      </c>
      <c r="L31" s="76"/>
      <c r="M31" s="76" t="s">
        <v>224</v>
      </c>
      <c r="N31" s="76" t="s">
        <v>184</v>
      </c>
      <c r="O31" s="76"/>
      <c r="P31" s="76" t="s">
        <v>175</v>
      </c>
      <c r="Q31" s="76"/>
      <c r="R31" s="76" t="s">
        <v>63</v>
      </c>
      <c r="S31" s="79" t="str">
        <f>IFERROR(VLOOKUP(H31, Level_Map!A:B, 2, FALSE), "")</f>
        <v>L5</v>
      </c>
      <c r="T31" s="76" t="str">
        <f>IFERROR(VLOOKUP(I31, Function_BU_Map!A:B, 2, FALSE), "")</f>
        <v>Ops</v>
      </c>
      <c r="U31" s="76" t="str">
        <f t="shared" si="1"/>
        <v>Active</v>
      </c>
      <c r="V31" s="76" t="str">
        <f t="shared" si="2"/>
        <v>Q3 2022</v>
      </c>
      <c r="W31" s="76" t="str">
        <f t="shared" si="4"/>
        <v/>
      </c>
      <c r="X31" s="76">
        <f t="shared" si="3"/>
        <v>2022</v>
      </c>
      <c r="Y31" s="5"/>
      <c r="Z31" s="5"/>
    </row>
    <row r="32" ht="14.25" customHeight="1">
      <c r="A32" s="76" t="s">
        <v>261</v>
      </c>
      <c r="B32" s="76" t="s">
        <v>262</v>
      </c>
      <c r="C32" s="77">
        <v>45340.0</v>
      </c>
      <c r="D32" s="76" t="s">
        <v>263</v>
      </c>
      <c r="E32" s="76" t="s">
        <v>88</v>
      </c>
      <c r="F32" s="76" t="s">
        <v>89</v>
      </c>
      <c r="G32" s="76" t="s">
        <v>102</v>
      </c>
      <c r="H32" s="76" t="s">
        <v>135</v>
      </c>
      <c r="I32" s="76" t="s">
        <v>15</v>
      </c>
      <c r="J32" s="76" t="s">
        <v>92</v>
      </c>
      <c r="K32" s="76" t="s">
        <v>143</v>
      </c>
      <c r="L32" s="76"/>
      <c r="M32" s="76" t="s">
        <v>173</v>
      </c>
      <c r="N32" s="76" t="s">
        <v>216</v>
      </c>
      <c r="O32" s="76"/>
      <c r="P32" s="76" t="s">
        <v>10</v>
      </c>
      <c r="Q32" s="76"/>
      <c r="R32" s="76" t="s">
        <v>61</v>
      </c>
      <c r="S32" s="79" t="str">
        <f>IFERROR(VLOOKUP(H32, Level_Map!A:B, 2, FALSE), "")</f>
        <v>L7</v>
      </c>
      <c r="T32" s="76" t="str">
        <f>IFERROR(VLOOKUP(I32, Function_BU_Map!A:B, 2, FALSE), "")</f>
        <v>Ops</v>
      </c>
      <c r="U32" s="76" t="str">
        <f t="shared" si="1"/>
        <v>Active</v>
      </c>
      <c r="V32" s="76" t="str">
        <f t="shared" si="2"/>
        <v>Q1 2024</v>
      </c>
      <c r="W32" s="76" t="str">
        <f t="shared" si="4"/>
        <v/>
      </c>
      <c r="X32" s="76">
        <f t="shared" si="3"/>
        <v>2024</v>
      </c>
      <c r="Y32" s="5"/>
      <c r="Z32" s="5"/>
    </row>
    <row r="33" ht="14.25" customHeight="1">
      <c r="A33" s="76" t="s">
        <v>264</v>
      </c>
      <c r="B33" s="76" t="s">
        <v>265</v>
      </c>
      <c r="C33" s="77">
        <v>44760.0</v>
      </c>
      <c r="D33" s="76" t="s">
        <v>266</v>
      </c>
      <c r="E33" s="76" t="s">
        <v>88</v>
      </c>
      <c r="F33" s="76" t="s">
        <v>101</v>
      </c>
      <c r="G33" s="76" t="s">
        <v>102</v>
      </c>
      <c r="H33" s="76" t="s">
        <v>111</v>
      </c>
      <c r="I33" s="76" t="s">
        <v>15</v>
      </c>
      <c r="J33" s="76" t="s">
        <v>119</v>
      </c>
      <c r="K33" s="76" t="s">
        <v>260</v>
      </c>
      <c r="L33" s="76"/>
      <c r="M33" s="76" t="s">
        <v>166</v>
      </c>
      <c r="N33" s="76" t="s">
        <v>174</v>
      </c>
      <c r="O33" s="76"/>
      <c r="P33" s="76" t="s">
        <v>175</v>
      </c>
      <c r="Q33" s="76"/>
      <c r="R33" s="76" t="s">
        <v>63</v>
      </c>
      <c r="S33" s="79" t="str">
        <f>IFERROR(VLOOKUP(H33, Level_Map!A:B, 2, FALSE), "")</f>
        <v>L3</v>
      </c>
      <c r="T33" s="76" t="str">
        <f>IFERROR(VLOOKUP(I33, Function_BU_Map!A:B, 2, FALSE), "")</f>
        <v>Ops</v>
      </c>
      <c r="U33" s="76" t="str">
        <f t="shared" si="1"/>
        <v>Active</v>
      </c>
      <c r="V33" s="76" t="str">
        <f t="shared" si="2"/>
        <v>Q3 2022</v>
      </c>
      <c r="W33" s="76" t="str">
        <f t="shared" si="4"/>
        <v/>
      </c>
      <c r="X33" s="76">
        <f t="shared" si="3"/>
        <v>2022</v>
      </c>
      <c r="Y33" s="5"/>
      <c r="Z33" s="5"/>
    </row>
    <row r="34" ht="14.25" customHeight="1">
      <c r="A34" s="76" t="s">
        <v>267</v>
      </c>
      <c r="B34" s="76" t="s">
        <v>268</v>
      </c>
      <c r="C34" s="77">
        <v>45297.0</v>
      </c>
      <c r="D34" s="76" t="s">
        <v>269</v>
      </c>
      <c r="E34" s="76" t="s">
        <v>88</v>
      </c>
      <c r="F34" s="76" t="s">
        <v>101</v>
      </c>
      <c r="G34" s="76" t="s">
        <v>90</v>
      </c>
      <c r="H34" s="76" t="s">
        <v>118</v>
      </c>
      <c r="I34" s="76" t="s">
        <v>19</v>
      </c>
      <c r="J34" s="76" t="s">
        <v>136</v>
      </c>
      <c r="K34" s="76" t="s">
        <v>128</v>
      </c>
      <c r="L34" s="76"/>
      <c r="M34" s="76" t="s">
        <v>270</v>
      </c>
      <c r="N34" s="76" t="s">
        <v>271</v>
      </c>
      <c r="O34" s="78">
        <v>45679.0</v>
      </c>
      <c r="P34" s="76" t="s">
        <v>23</v>
      </c>
      <c r="Q34" s="76" t="s">
        <v>60</v>
      </c>
      <c r="R34" s="76" t="s">
        <v>61</v>
      </c>
      <c r="S34" s="79" t="str">
        <f>IFERROR(VLOOKUP(H34, Level_Map!A:B, 2, FALSE), "")</f>
        <v>L4</v>
      </c>
      <c r="T34" s="76" t="str">
        <f>IFERROR(VLOOKUP(I34, Function_BU_Map!A:B, 2, FALSE), "")</f>
        <v>Tech</v>
      </c>
      <c r="U34" s="76" t="str">
        <f t="shared" si="1"/>
        <v>Exited</v>
      </c>
      <c r="V34" s="76" t="str">
        <f t="shared" si="2"/>
        <v>Q1 2024</v>
      </c>
      <c r="W34" s="76" t="str">
        <f t="shared" si="4"/>
        <v>Q1 2025</v>
      </c>
      <c r="X34" s="76">
        <f t="shared" si="3"/>
        <v>2024</v>
      </c>
      <c r="Y34" s="5"/>
      <c r="Z34" s="5"/>
    </row>
    <row r="35" ht="14.25" customHeight="1">
      <c r="A35" s="76" t="s">
        <v>272</v>
      </c>
      <c r="B35" s="76" t="s">
        <v>273</v>
      </c>
      <c r="C35" s="77">
        <v>45798.0</v>
      </c>
      <c r="D35" s="76" t="s">
        <v>274</v>
      </c>
      <c r="E35" s="76" t="s">
        <v>88</v>
      </c>
      <c r="F35" s="76" t="s">
        <v>101</v>
      </c>
      <c r="G35" s="76" t="s">
        <v>90</v>
      </c>
      <c r="H35" s="76" t="s">
        <v>230</v>
      </c>
      <c r="I35" s="76" t="s">
        <v>16</v>
      </c>
      <c r="J35" s="76" t="s">
        <v>157</v>
      </c>
      <c r="K35" s="76" t="s">
        <v>112</v>
      </c>
      <c r="L35" s="76"/>
      <c r="M35" s="76" t="s">
        <v>151</v>
      </c>
      <c r="N35" s="76" t="s">
        <v>122</v>
      </c>
      <c r="O35" s="78">
        <v>45861.0</v>
      </c>
      <c r="P35" s="76" t="s">
        <v>41</v>
      </c>
      <c r="Q35" s="76" t="s">
        <v>55</v>
      </c>
      <c r="R35" s="76" t="s">
        <v>58</v>
      </c>
      <c r="S35" s="79" t="str">
        <f>IFERROR(VLOOKUP(H35, Level_Map!A:B, 2, FALSE), "")</f>
        <v>L6</v>
      </c>
      <c r="T35" s="76" t="str">
        <f>IFERROR(VLOOKUP(I35, Function_BU_Map!A:B, 2, FALSE), "")</f>
        <v>Tech</v>
      </c>
      <c r="U35" s="76" t="str">
        <f t="shared" si="1"/>
        <v>Exited</v>
      </c>
      <c r="V35" s="76" t="str">
        <f t="shared" si="2"/>
        <v>Q2 2025</v>
      </c>
      <c r="W35" s="76" t="str">
        <f t="shared" si="4"/>
        <v>Q3 2025</v>
      </c>
      <c r="X35" s="76">
        <f t="shared" si="3"/>
        <v>2025</v>
      </c>
      <c r="Y35" s="5"/>
      <c r="Z35" s="5"/>
    </row>
    <row r="36" ht="14.25" customHeight="1">
      <c r="A36" s="76" t="s">
        <v>275</v>
      </c>
      <c r="B36" s="76" t="s">
        <v>276</v>
      </c>
      <c r="C36" s="77">
        <v>44650.0</v>
      </c>
      <c r="D36" s="76" t="s">
        <v>277</v>
      </c>
      <c r="E36" s="76" t="s">
        <v>88</v>
      </c>
      <c r="F36" s="76" t="s">
        <v>156</v>
      </c>
      <c r="G36" s="76" t="s">
        <v>90</v>
      </c>
      <c r="H36" s="76" t="s">
        <v>149</v>
      </c>
      <c r="I36" s="76" t="s">
        <v>17</v>
      </c>
      <c r="J36" s="76" t="s">
        <v>92</v>
      </c>
      <c r="K36" s="76" t="s">
        <v>278</v>
      </c>
      <c r="L36" s="76"/>
      <c r="M36" s="76" t="s">
        <v>279</v>
      </c>
      <c r="N36" s="76" t="s">
        <v>152</v>
      </c>
      <c r="O36" s="78">
        <v>45620.0</v>
      </c>
      <c r="P36" s="76" t="s">
        <v>168</v>
      </c>
      <c r="Q36" s="76" t="s">
        <v>12</v>
      </c>
      <c r="R36" s="76" t="s">
        <v>63</v>
      </c>
      <c r="S36" s="79" t="str">
        <f>IFERROR(VLOOKUP(H36, Level_Map!A:B, 2, FALSE), "")</f>
        <v>L1</v>
      </c>
      <c r="T36" s="76" t="str">
        <f>IFERROR(VLOOKUP(I36, Function_BU_Map!A:B, 2, FALSE), "")</f>
        <v>Growth</v>
      </c>
      <c r="U36" s="76" t="str">
        <f t="shared" si="1"/>
        <v>Exited</v>
      </c>
      <c r="V36" s="76" t="str">
        <f t="shared" si="2"/>
        <v>Q1 2022</v>
      </c>
      <c r="W36" s="76" t="str">
        <f t="shared" si="4"/>
        <v>Q4 2024</v>
      </c>
      <c r="X36" s="76">
        <f t="shared" si="3"/>
        <v>2022</v>
      </c>
      <c r="Y36" s="5"/>
      <c r="Z36" s="5"/>
    </row>
    <row r="37" ht="14.25" customHeight="1">
      <c r="A37" s="76" t="s">
        <v>280</v>
      </c>
      <c r="B37" s="76" t="s">
        <v>281</v>
      </c>
      <c r="C37" s="77">
        <v>45660.0</v>
      </c>
      <c r="D37" s="76" t="s">
        <v>282</v>
      </c>
      <c r="E37" s="76" t="s">
        <v>88</v>
      </c>
      <c r="F37" s="76" t="s">
        <v>101</v>
      </c>
      <c r="G37" s="76" t="s">
        <v>90</v>
      </c>
      <c r="H37" s="76" t="s">
        <v>135</v>
      </c>
      <c r="I37" s="76" t="s">
        <v>16</v>
      </c>
      <c r="J37" s="76" t="s">
        <v>119</v>
      </c>
      <c r="K37" s="76" t="s">
        <v>112</v>
      </c>
      <c r="L37" s="76"/>
      <c r="M37" s="76" t="s">
        <v>129</v>
      </c>
      <c r="N37" s="76" t="s">
        <v>106</v>
      </c>
      <c r="O37" s="78">
        <v>45753.0</v>
      </c>
      <c r="P37" s="76" t="s">
        <v>60</v>
      </c>
      <c r="Q37" s="76" t="s">
        <v>46</v>
      </c>
      <c r="R37" s="76" t="s">
        <v>58</v>
      </c>
      <c r="S37" s="79" t="str">
        <f>IFERROR(VLOOKUP(H37, Level_Map!A:B, 2, FALSE), "")</f>
        <v>L7</v>
      </c>
      <c r="T37" s="76" t="str">
        <f>IFERROR(VLOOKUP(I37, Function_BU_Map!A:B, 2, FALSE), "")</f>
        <v>Tech</v>
      </c>
      <c r="U37" s="76" t="str">
        <f t="shared" si="1"/>
        <v>Exited</v>
      </c>
      <c r="V37" s="76" t="str">
        <f t="shared" si="2"/>
        <v>Q1 2025</v>
      </c>
      <c r="W37" s="76" t="str">
        <f t="shared" si="4"/>
        <v>Q2 2025</v>
      </c>
      <c r="X37" s="76">
        <f t="shared" si="3"/>
        <v>2025</v>
      </c>
      <c r="Y37" s="5"/>
      <c r="Z37" s="5"/>
    </row>
    <row r="38" ht="14.25" customHeight="1">
      <c r="A38" s="76" t="s">
        <v>283</v>
      </c>
      <c r="B38" s="76" t="s">
        <v>284</v>
      </c>
      <c r="C38" s="77">
        <v>45337.0</v>
      </c>
      <c r="D38" s="76" t="s">
        <v>285</v>
      </c>
      <c r="E38" s="76" t="s">
        <v>88</v>
      </c>
      <c r="F38" s="76" t="s">
        <v>101</v>
      </c>
      <c r="G38" s="76" t="s">
        <v>102</v>
      </c>
      <c r="H38" s="76" t="s">
        <v>111</v>
      </c>
      <c r="I38" s="76" t="s">
        <v>16</v>
      </c>
      <c r="J38" s="76" t="s">
        <v>193</v>
      </c>
      <c r="K38" s="76" t="s">
        <v>112</v>
      </c>
      <c r="L38" s="76"/>
      <c r="M38" s="76" t="s">
        <v>236</v>
      </c>
      <c r="N38" s="76" t="s">
        <v>130</v>
      </c>
      <c r="O38" s="76"/>
      <c r="P38" s="76" t="s">
        <v>10</v>
      </c>
      <c r="Q38" s="76"/>
      <c r="R38" s="76" t="s">
        <v>61</v>
      </c>
      <c r="S38" s="79" t="str">
        <f>IFERROR(VLOOKUP(H38, Level_Map!A:B, 2, FALSE), "")</f>
        <v>L3</v>
      </c>
      <c r="T38" s="76" t="str">
        <f>IFERROR(VLOOKUP(I38, Function_BU_Map!A:B, 2, FALSE), "")</f>
        <v>Tech</v>
      </c>
      <c r="U38" s="76" t="str">
        <f t="shared" si="1"/>
        <v>Active</v>
      </c>
      <c r="V38" s="76" t="str">
        <f t="shared" si="2"/>
        <v>Q1 2024</v>
      </c>
      <c r="W38" s="76" t="str">
        <f t="shared" si="4"/>
        <v/>
      </c>
      <c r="X38" s="76">
        <f t="shared" si="3"/>
        <v>2024</v>
      </c>
      <c r="Y38" s="5"/>
      <c r="Z38" s="5"/>
    </row>
    <row r="39" ht="14.25" customHeight="1">
      <c r="A39" s="76" t="s">
        <v>286</v>
      </c>
      <c r="B39" s="76" t="s">
        <v>287</v>
      </c>
      <c r="C39" s="77">
        <v>44723.0</v>
      </c>
      <c r="D39" s="76" t="s">
        <v>288</v>
      </c>
      <c r="E39" s="76" t="s">
        <v>88</v>
      </c>
      <c r="F39" s="76" t="s">
        <v>101</v>
      </c>
      <c r="G39" s="76" t="s">
        <v>102</v>
      </c>
      <c r="H39" s="76" t="s">
        <v>230</v>
      </c>
      <c r="I39" s="76" t="s">
        <v>15</v>
      </c>
      <c r="J39" s="76" t="s">
        <v>157</v>
      </c>
      <c r="K39" s="76" t="s">
        <v>260</v>
      </c>
      <c r="L39" s="76"/>
      <c r="M39" s="76" t="s">
        <v>194</v>
      </c>
      <c r="N39" s="76" t="s">
        <v>167</v>
      </c>
      <c r="O39" s="76"/>
      <c r="P39" s="76" t="s">
        <v>145</v>
      </c>
      <c r="Q39" s="76"/>
      <c r="R39" s="76" t="s">
        <v>63</v>
      </c>
      <c r="S39" s="79" t="str">
        <f>IFERROR(VLOOKUP(H39, Level_Map!A:B, 2, FALSE), "")</f>
        <v>L6</v>
      </c>
      <c r="T39" s="76" t="str">
        <f>IFERROR(VLOOKUP(I39, Function_BU_Map!A:B, 2, FALSE), "")</f>
        <v>Ops</v>
      </c>
      <c r="U39" s="76" t="str">
        <f t="shared" si="1"/>
        <v>Active</v>
      </c>
      <c r="V39" s="76" t="str">
        <f t="shared" si="2"/>
        <v>Q2 2022</v>
      </c>
      <c r="W39" s="76" t="str">
        <f t="shared" si="4"/>
        <v/>
      </c>
      <c r="X39" s="76">
        <f t="shared" si="3"/>
        <v>2022</v>
      </c>
      <c r="Y39" s="5"/>
      <c r="Z39" s="5"/>
    </row>
    <row r="40" ht="14.25" customHeight="1">
      <c r="A40" s="76" t="s">
        <v>289</v>
      </c>
      <c r="B40" s="76" t="s">
        <v>290</v>
      </c>
      <c r="C40" s="77">
        <v>45692.0</v>
      </c>
      <c r="D40" s="76" t="s">
        <v>291</v>
      </c>
      <c r="E40" s="76" t="s">
        <v>88</v>
      </c>
      <c r="F40" s="76" t="s">
        <v>156</v>
      </c>
      <c r="G40" s="76" t="s">
        <v>102</v>
      </c>
      <c r="H40" s="76" t="s">
        <v>164</v>
      </c>
      <c r="I40" s="76" t="s">
        <v>14</v>
      </c>
      <c r="J40" s="76" t="s">
        <v>136</v>
      </c>
      <c r="K40" s="76" t="s">
        <v>292</v>
      </c>
      <c r="L40" s="76"/>
      <c r="M40" s="76" t="s">
        <v>189</v>
      </c>
      <c r="N40" s="76" t="s">
        <v>293</v>
      </c>
      <c r="O40" s="76"/>
      <c r="P40" s="76" t="s">
        <v>64</v>
      </c>
      <c r="Q40" s="76"/>
      <c r="R40" s="76" t="s">
        <v>58</v>
      </c>
      <c r="S40" s="79" t="str">
        <f>IFERROR(VLOOKUP(H40, Level_Map!A:B, 2, FALSE), "")</f>
        <v>L5</v>
      </c>
      <c r="T40" s="76" t="str">
        <f>IFERROR(VLOOKUP(I40, Function_BU_Map!A:B, 2, FALSE), "")</f>
        <v>Tech</v>
      </c>
      <c r="U40" s="76" t="str">
        <f t="shared" si="1"/>
        <v>Active</v>
      </c>
      <c r="V40" s="76" t="str">
        <f t="shared" si="2"/>
        <v>Q1 2025</v>
      </c>
      <c r="W40" s="76" t="str">
        <f t="shared" si="4"/>
        <v/>
      </c>
      <c r="X40" s="76">
        <f t="shared" si="3"/>
        <v>2025</v>
      </c>
      <c r="Y40" s="5"/>
      <c r="Z40" s="5"/>
    </row>
    <row r="41" ht="14.25" customHeight="1">
      <c r="A41" s="76" t="s">
        <v>294</v>
      </c>
      <c r="B41" s="76" t="s">
        <v>295</v>
      </c>
      <c r="C41" s="77">
        <v>45162.0</v>
      </c>
      <c r="D41" s="76" t="s">
        <v>296</v>
      </c>
      <c r="E41" s="76" t="s">
        <v>88</v>
      </c>
      <c r="F41" s="76" t="s">
        <v>101</v>
      </c>
      <c r="G41" s="76" t="s">
        <v>90</v>
      </c>
      <c r="H41" s="76" t="s">
        <v>111</v>
      </c>
      <c r="I41" s="76" t="s">
        <v>17</v>
      </c>
      <c r="J41" s="76" t="s">
        <v>136</v>
      </c>
      <c r="K41" s="76" t="s">
        <v>297</v>
      </c>
      <c r="L41" s="76"/>
      <c r="M41" s="76" t="s">
        <v>173</v>
      </c>
      <c r="N41" s="76" t="s">
        <v>256</v>
      </c>
      <c r="O41" s="78">
        <v>45835.0</v>
      </c>
      <c r="P41" s="76" t="s">
        <v>298</v>
      </c>
      <c r="Q41" s="76" t="s">
        <v>24</v>
      </c>
      <c r="R41" s="76" t="s">
        <v>61</v>
      </c>
      <c r="S41" s="79" t="str">
        <f>IFERROR(VLOOKUP(H41, Level_Map!A:B, 2, FALSE), "")</f>
        <v>L3</v>
      </c>
      <c r="T41" s="76" t="str">
        <f>IFERROR(VLOOKUP(I41, Function_BU_Map!A:B, 2, FALSE), "")</f>
        <v>Growth</v>
      </c>
      <c r="U41" s="76" t="str">
        <f t="shared" si="1"/>
        <v>Exited</v>
      </c>
      <c r="V41" s="76" t="str">
        <f t="shared" si="2"/>
        <v>Q3 2023</v>
      </c>
      <c r="W41" s="76" t="str">
        <f t="shared" si="4"/>
        <v>Q2 2025</v>
      </c>
      <c r="X41" s="76">
        <f t="shared" si="3"/>
        <v>2023</v>
      </c>
      <c r="Y41" s="5"/>
      <c r="Z41" s="5"/>
    </row>
    <row r="42" ht="14.25" customHeight="1">
      <c r="A42" s="76" t="s">
        <v>299</v>
      </c>
      <c r="B42" s="76" t="s">
        <v>300</v>
      </c>
      <c r="C42" s="77">
        <v>45828.0</v>
      </c>
      <c r="D42" s="76" t="s">
        <v>301</v>
      </c>
      <c r="E42" s="76" t="s">
        <v>88</v>
      </c>
      <c r="F42" s="76" t="s">
        <v>101</v>
      </c>
      <c r="G42" s="76" t="s">
        <v>102</v>
      </c>
      <c r="H42" s="76" t="s">
        <v>135</v>
      </c>
      <c r="I42" s="76" t="s">
        <v>20</v>
      </c>
      <c r="J42" s="76" t="s">
        <v>127</v>
      </c>
      <c r="K42" s="76" t="s">
        <v>302</v>
      </c>
      <c r="L42" s="76"/>
      <c r="M42" s="76" t="s">
        <v>151</v>
      </c>
      <c r="N42" s="76" t="s">
        <v>303</v>
      </c>
      <c r="O42" s="76"/>
      <c r="P42" s="76" t="s">
        <v>24</v>
      </c>
      <c r="Q42" s="76"/>
      <c r="R42" s="76" t="s">
        <v>58</v>
      </c>
      <c r="S42" s="79" t="str">
        <f>IFERROR(VLOOKUP(H42, Level_Map!A:B, 2, FALSE), "")</f>
        <v>L7</v>
      </c>
      <c r="T42" s="76" t="str">
        <f>IFERROR(VLOOKUP(I42, Function_BU_Map!A:B, 2, FALSE), "")</f>
        <v>Risk</v>
      </c>
      <c r="U42" s="76" t="str">
        <f t="shared" si="1"/>
        <v>Active</v>
      </c>
      <c r="V42" s="76" t="str">
        <f t="shared" si="2"/>
        <v>Q2 2025</v>
      </c>
      <c r="W42" s="76" t="str">
        <f t="shared" si="4"/>
        <v/>
      </c>
      <c r="X42" s="76">
        <f t="shared" si="3"/>
        <v>2025</v>
      </c>
      <c r="Y42" s="5"/>
      <c r="Z42" s="5"/>
    </row>
    <row r="43" ht="14.25" customHeight="1">
      <c r="A43" s="76" t="s">
        <v>304</v>
      </c>
      <c r="B43" s="76" t="s">
        <v>305</v>
      </c>
      <c r="C43" s="77">
        <v>45302.0</v>
      </c>
      <c r="D43" s="76" t="s">
        <v>306</v>
      </c>
      <c r="E43" s="76" t="s">
        <v>100</v>
      </c>
      <c r="F43" s="76" t="s">
        <v>101</v>
      </c>
      <c r="G43" s="76" t="s">
        <v>102</v>
      </c>
      <c r="H43" s="76" t="s">
        <v>164</v>
      </c>
      <c r="I43" s="76" t="s">
        <v>15</v>
      </c>
      <c r="J43" s="76" t="s">
        <v>92</v>
      </c>
      <c r="K43" s="76" t="s">
        <v>137</v>
      </c>
      <c r="L43" s="76"/>
      <c r="M43" s="76" t="s">
        <v>194</v>
      </c>
      <c r="N43" s="76" t="s">
        <v>114</v>
      </c>
      <c r="O43" s="76"/>
      <c r="P43" s="76" t="s">
        <v>23</v>
      </c>
      <c r="Q43" s="76"/>
      <c r="R43" s="76" t="s">
        <v>61</v>
      </c>
      <c r="S43" s="79" t="str">
        <f>IFERROR(VLOOKUP(H43, Level_Map!A:B, 2, FALSE), "")</f>
        <v>L5</v>
      </c>
      <c r="T43" s="76" t="str">
        <f>IFERROR(VLOOKUP(I43, Function_BU_Map!A:B, 2, FALSE), "")</f>
        <v>Ops</v>
      </c>
      <c r="U43" s="76" t="str">
        <f t="shared" si="1"/>
        <v>Active</v>
      </c>
      <c r="V43" s="76" t="str">
        <f t="shared" si="2"/>
        <v>Q1 2024</v>
      </c>
      <c r="W43" s="76" t="str">
        <f t="shared" si="4"/>
        <v/>
      </c>
      <c r="X43" s="76">
        <f t="shared" si="3"/>
        <v>2024</v>
      </c>
      <c r="Y43" s="5"/>
      <c r="Z43" s="5"/>
    </row>
    <row r="44" ht="14.25" customHeight="1">
      <c r="A44" s="76" t="s">
        <v>307</v>
      </c>
      <c r="B44" s="76" t="s">
        <v>308</v>
      </c>
      <c r="C44" s="77">
        <v>45744.0</v>
      </c>
      <c r="D44" s="76" t="s">
        <v>309</v>
      </c>
      <c r="E44" s="76" t="s">
        <v>88</v>
      </c>
      <c r="F44" s="76" t="s">
        <v>101</v>
      </c>
      <c r="G44" s="76" t="s">
        <v>102</v>
      </c>
      <c r="H44" s="76" t="s">
        <v>111</v>
      </c>
      <c r="I44" s="76" t="s">
        <v>16</v>
      </c>
      <c r="J44" s="76" t="s">
        <v>157</v>
      </c>
      <c r="K44" s="76" t="s">
        <v>158</v>
      </c>
      <c r="L44" s="76"/>
      <c r="M44" s="76" t="s">
        <v>173</v>
      </c>
      <c r="N44" s="76" t="s">
        <v>195</v>
      </c>
      <c r="O44" s="76"/>
      <c r="P44" s="76" t="s">
        <v>47</v>
      </c>
      <c r="Q44" s="76"/>
      <c r="R44" s="76" t="s">
        <v>58</v>
      </c>
      <c r="S44" s="79" t="str">
        <f>IFERROR(VLOOKUP(H44, Level_Map!A:B, 2, FALSE), "")</f>
        <v>L3</v>
      </c>
      <c r="T44" s="76" t="str">
        <f>IFERROR(VLOOKUP(I44, Function_BU_Map!A:B, 2, FALSE), "")</f>
        <v>Tech</v>
      </c>
      <c r="U44" s="76" t="str">
        <f t="shared" si="1"/>
        <v>Active</v>
      </c>
      <c r="V44" s="76" t="str">
        <f t="shared" si="2"/>
        <v>Q1 2025</v>
      </c>
      <c r="W44" s="76" t="str">
        <f t="shared" si="4"/>
        <v/>
      </c>
      <c r="X44" s="76">
        <f t="shared" si="3"/>
        <v>2025</v>
      </c>
      <c r="Y44" s="5"/>
      <c r="Z44" s="5"/>
    </row>
    <row r="45" ht="14.25" customHeight="1">
      <c r="A45" s="76" t="s">
        <v>310</v>
      </c>
      <c r="B45" s="76" t="s">
        <v>311</v>
      </c>
      <c r="C45" s="77">
        <v>44955.0</v>
      </c>
      <c r="D45" s="76" t="s">
        <v>312</v>
      </c>
      <c r="E45" s="76" t="s">
        <v>88</v>
      </c>
      <c r="F45" s="76" t="s">
        <v>101</v>
      </c>
      <c r="G45" s="76" t="s">
        <v>102</v>
      </c>
      <c r="H45" s="76" t="s">
        <v>111</v>
      </c>
      <c r="I45" s="76" t="s">
        <v>17</v>
      </c>
      <c r="J45" s="76" t="s">
        <v>193</v>
      </c>
      <c r="K45" s="76" t="s">
        <v>278</v>
      </c>
      <c r="L45" s="76"/>
      <c r="M45" s="76" t="s">
        <v>113</v>
      </c>
      <c r="N45" s="76" t="s">
        <v>271</v>
      </c>
      <c r="O45" s="76"/>
      <c r="P45" s="76" t="s">
        <v>62</v>
      </c>
      <c r="Q45" s="76"/>
      <c r="R45" s="76" t="s">
        <v>63</v>
      </c>
      <c r="S45" s="79" t="str">
        <f>IFERROR(VLOOKUP(H45, Level_Map!A:B, 2, FALSE), "")</f>
        <v>L3</v>
      </c>
      <c r="T45" s="76" t="str">
        <f>IFERROR(VLOOKUP(I45, Function_BU_Map!A:B, 2, FALSE), "")</f>
        <v>Growth</v>
      </c>
      <c r="U45" s="76" t="str">
        <f t="shared" si="1"/>
        <v>Active</v>
      </c>
      <c r="V45" s="76" t="str">
        <f t="shared" si="2"/>
        <v>Q1 2023</v>
      </c>
      <c r="W45" s="76" t="str">
        <f t="shared" si="4"/>
        <v/>
      </c>
      <c r="X45" s="76">
        <f t="shared" si="3"/>
        <v>2023</v>
      </c>
      <c r="Y45" s="5"/>
      <c r="Z45" s="5"/>
    </row>
    <row r="46" ht="14.25" customHeight="1">
      <c r="A46" s="76" t="s">
        <v>313</v>
      </c>
      <c r="B46" s="76" t="s">
        <v>314</v>
      </c>
      <c r="C46" s="77">
        <v>44704.0</v>
      </c>
      <c r="D46" s="76" t="s">
        <v>315</v>
      </c>
      <c r="E46" s="76" t="s">
        <v>100</v>
      </c>
      <c r="F46" s="76" t="s">
        <v>101</v>
      </c>
      <c r="G46" s="76" t="s">
        <v>102</v>
      </c>
      <c r="H46" s="76" t="s">
        <v>118</v>
      </c>
      <c r="I46" s="76" t="s">
        <v>16</v>
      </c>
      <c r="J46" s="76" t="s">
        <v>136</v>
      </c>
      <c r="K46" s="76" t="s">
        <v>112</v>
      </c>
      <c r="L46" s="76"/>
      <c r="M46" s="76" t="s">
        <v>173</v>
      </c>
      <c r="N46" s="76" t="s">
        <v>152</v>
      </c>
      <c r="O46" s="76"/>
      <c r="P46" s="76" t="s">
        <v>316</v>
      </c>
      <c r="Q46" s="76"/>
      <c r="R46" s="76" t="s">
        <v>63</v>
      </c>
      <c r="S46" s="79" t="str">
        <f>IFERROR(VLOOKUP(H46, Level_Map!A:B, 2, FALSE), "")</f>
        <v>L4</v>
      </c>
      <c r="T46" s="76" t="str">
        <f>IFERROR(VLOOKUP(I46, Function_BU_Map!A:B, 2, FALSE), "")</f>
        <v>Tech</v>
      </c>
      <c r="U46" s="76" t="str">
        <f t="shared" si="1"/>
        <v>Active</v>
      </c>
      <c r="V46" s="76" t="str">
        <f t="shared" si="2"/>
        <v>Q2 2022</v>
      </c>
      <c r="W46" s="76" t="str">
        <f t="shared" si="4"/>
        <v/>
      </c>
      <c r="X46" s="76">
        <f t="shared" si="3"/>
        <v>2022</v>
      </c>
      <c r="Y46" s="5"/>
      <c r="Z46" s="5"/>
    </row>
    <row r="47" ht="14.25" customHeight="1">
      <c r="A47" s="76" t="s">
        <v>317</v>
      </c>
      <c r="B47" s="76" t="s">
        <v>318</v>
      </c>
      <c r="C47" s="77">
        <v>44655.0</v>
      </c>
      <c r="D47" s="76" t="s">
        <v>319</v>
      </c>
      <c r="E47" s="76" t="s">
        <v>88</v>
      </c>
      <c r="F47" s="76" t="s">
        <v>101</v>
      </c>
      <c r="G47" s="76" t="s">
        <v>102</v>
      </c>
      <c r="H47" s="76" t="s">
        <v>118</v>
      </c>
      <c r="I47" s="76" t="s">
        <v>20</v>
      </c>
      <c r="J47" s="76" t="s">
        <v>119</v>
      </c>
      <c r="K47" s="76" t="s">
        <v>302</v>
      </c>
      <c r="L47" s="76"/>
      <c r="M47" s="76" t="s">
        <v>194</v>
      </c>
      <c r="N47" s="76" t="s">
        <v>293</v>
      </c>
      <c r="O47" s="76"/>
      <c r="P47" s="76" t="s">
        <v>320</v>
      </c>
      <c r="Q47" s="76"/>
      <c r="R47" s="76" t="s">
        <v>63</v>
      </c>
      <c r="S47" s="79" t="str">
        <f>IFERROR(VLOOKUP(H47, Level_Map!A:B, 2, FALSE), "")</f>
        <v>L4</v>
      </c>
      <c r="T47" s="76" t="str">
        <f>IFERROR(VLOOKUP(I47, Function_BU_Map!A:B, 2, FALSE), "")</f>
        <v>Risk</v>
      </c>
      <c r="U47" s="76" t="str">
        <f t="shared" si="1"/>
        <v>Active</v>
      </c>
      <c r="V47" s="76" t="str">
        <f t="shared" si="2"/>
        <v>Q2 2022</v>
      </c>
      <c r="W47" s="76" t="str">
        <f t="shared" si="4"/>
        <v/>
      </c>
      <c r="X47" s="76">
        <f t="shared" si="3"/>
        <v>2022</v>
      </c>
      <c r="Y47" s="5"/>
      <c r="Z47" s="5"/>
    </row>
    <row r="48" ht="14.25" customHeight="1">
      <c r="A48" s="76" t="s">
        <v>321</v>
      </c>
      <c r="B48" s="76" t="s">
        <v>322</v>
      </c>
      <c r="C48" s="77">
        <v>45916.0</v>
      </c>
      <c r="D48" s="76" t="s">
        <v>323</v>
      </c>
      <c r="E48" s="76" t="s">
        <v>88</v>
      </c>
      <c r="F48" s="76" t="s">
        <v>101</v>
      </c>
      <c r="G48" s="76" t="s">
        <v>102</v>
      </c>
      <c r="H48" s="76" t="s">
        <v>164</v>
      </c>
      <c r="I48" s="76" t="s">
        <v>17</v>
      </c>
      <c r="J48" s="76" t="s">
        <v>92</v>
      </c>
      <c r="K48" s="76" t="s">
        <v>297</v>
      </c>
      <c r="L48" s="76"/>
      <c r="M48" s="76" t="s">
        <v>138</v>
      </c>
      <c r="N48" s="76" t="s">
        <v>144</v>
      </c>
      <c r="O48" s="76"/>
      <c r="P48" s="76" t="s">
        <v>11</v>
      </c>
      <c r="Q48" s="76"/>
      <c r="R48" s="76" t="s">
        <v>58</v>
      </c>
      <c r="S48" s="79" t="str">
        <f>IFERROR(VLOOKUP(H48, Level_Map!A:B, 2, FALSE), "")</f>
        <v>L5</v>
      </c>
      <c r="T48" s="76" t="str">
        <f>IFERROR(VLOOKUP(I48, Function_BU_Map!A:B, 2, FALSE), "")</f>
        <v>Growth</v>
      </c>
      <c r="U48" s="76" t="str">
        <f t="shared" si="1"/>
        <v>Active</v>
      </c>
      <c r="V48" s="76" t="str">
        <f t="shared" si="2"/>
        <v>Q3 2025</v>
      </c>
      <c r="W48" s="76" t="str">
        <f t="shared" si="4"/>
        <v/>
      </c>
      <c r="X48" s="76">
        <f t="shared" si="3"/>
        <v>2025</v>
      </c>
      <c r="Y48" s="5"/>
      <c r="Z48" s="5"/>
    </row>
    <row r="49" ht="14.25" customHeight="1">
      <c r="A49" s="76" t="s">
        <v>324</v>
      </c>
      <c r="B49" s="76" t="s">
        <v>325</v>
      </c>
      <c r="C49" s="77">
        <v>45028.0</v>
      </c>
      <c r="D49" s="76" t="s">
        <v>326</v>
      </c>
      <c r="E49" s="76" t="s">
        <v>88</v>
      </c>
      <c r="F49" s="76" t="s">
        <v>101</v>
      </c>
      <c r="G49" s="76" t="s">
        <v>102</v>
      </c>
      <c r="H49" s="76" t="s">
        <v>149</v>
      </c>
      <c r="I49" s="76" t="s">
        <v>14</v>
      </c>
      <c r="J49" s="76" t="s">
        <v>127</v>
      </c>
      <c r="K49" s="76" t="s">
        <v>292</v>
      </c>
      <c r="L49" s="76"/>
      <c r="M49" s="76" t="s">
        <v>236</v>
      </c>
      <c r="N49" s="76" t="s">
        <v>303</v>
      </c>
      <c r="O49" s="76"/>
      <c r="P49" s="76" t="s">
        <v>180</v>
      </c>
      <c r="Q49" s="76"/>
      <c r="R49" s="76" t="s">
        <v>63</v>
      </c>
      <c r="S49" s="79" t="str">
        <f>IFERROR(VLOOKUP(H49, Level_Map!A:B, 2, FALSE), "")</f>
        <v>L1</v>
      </c>
      <c r="T49" s="76" t="str">
        <f>IFERROR(VLOOKUP(I49, Function_BU_Map!A:B, 2, FALSE), "")</f>
        <v>Tech</v>
      </c>
      <c r="U49" s="76" t="str">
        <f t="shared" si="1"/>
        <v>Active</v>
      </c>
      <c r="V49" s="76" t="str">
        <f t="shared" si="2"/>
        <v>Q2 2023</v>
      </c>
      <c r="W49" s="76" t="str">
        <f t="shared" si="4"/>
        <v/>
      </c>
      <c r="X49" s="76">
        <f t="shared" si="3"/>
        <v>2023</v>
      </c>
      <c r="Y49" s="5"/>
      <c r="Z49" s="5"/>
    </row>
    <row r="50" ht="14.25" customHeight="1">
      <c r="A50" s="76" t="s">
        <v>327</v>
      </c>
      <c r="B50" s="76" t="s">
        <v>328</v>
      </c>
      <c r="C50" s="77">
        <v>45154.0</v>
      </c>
      <c r="D50" s="76" t="s">
        <v>329</v>
      </c>
      <c r="E50" s="76" t="s">
        <v>88</v>
      </c>
      <c r="F50" s="76" t="s">
        <v>101</v>
      </c>
      <c r="G50" s="76" t="s">
        <v>102</v>
      </c>
      <c r="H50" s="76" t="s">
        <v>118</v>
      </c>
      <c r="I50" s="76" t="s">
        <v>16</v>
      </c>
      <c r="J50" s="76" t="s">
        <v>157</v>
      </c>
      <c r="K50" s="76" t="s">
        <v>201</v>
      </c>
      <c r="L50" s="76"/>
      <c r="M50" s="76" t="s">
        <v>232</v>
      </c>
      <c r="N50" s="76" t="s">
        <v>152</v>
      </c>
      <c r="O50" s="76"/>
      <c r="P50" s="76" t="s">
        <v>298</v>
      </c>
      <c r="Q50" s="76"/>
      <c r="R50" s="76" t="s">
        <v>63</v>
      </c>
      <c r="S50" s="79" t="str">
        <f>IFERROR(VLOOKUP(H50, Level_Map!A:B, 2, FALSE), "")</f>
        <v>L4</v>
      </c>
      <c r="T50" s="76" t="str">
        <f>IFERROR(VLOOKUP(I50, Function_BU_Map!A:B, 2, FALSE), "")</f>
        <v>Tech</v>
      </c>
      <c r="U50" s="76" t="str">
        <f t="shared" si="1"/>
        <v>Active</v>
      </c>
      <c r="V50" s="76" t="str">
        <f t="shared" si="2"/>
        <v>Q3 2023</v>
      </c>
      <c r="W50" s="76" t="str">
        <f t="shared" si="4"/>
        <v/>
      </c>
      <c r="X50" s="76">
        <f t="shared" si="3"/>
        <v>2023</v>
      </c>
      <c r="Y50" s="5"/>
      <c r="Z50" s="5"/>
    </row>
    <row r="51" ht="14.25" customHeight="1">
      <c r="A51" s="76" t="s">
        <v>330</v>
      </c>
      <c r="B51" s="76" t="s">
        <v>331</v>
      </c>
      <c r="C51" s="77">
        <v>44725.0</v>
      </c>
      <c r="D51" s="76" t="s">
        <v>332</v>
      </c>
      <c r="E51" s="76" t="s">
        <v>100</v>
      </c>
      <c r="F51" s="76" t="s">
        <v>101</v>
      </c>
      <c r="G51" s="76" t="s">
        <v>102</v>
      </c>
      <c r="H51" s="76" t="s">
        <v>118</v>
      </c>
      <c r="I51" s="76" t="s">
        <v>16</v>
      </c>
      <c r="J51" s="76" t="s">
        <v>157</v>
      </c>
      <c r="K51" s="76" t="s">
        <v>158</v>
      </c>
      <c r="L51" s="76"/>
      <c r="M51" s="76" t="s">
        <v>224</v>
      </c>
      <c r="N51" s="76" t="s">
        <v>184</v>
      </c>
      <c r="O51" s="76"/>
      <c r="P51" s="76" t="s">
        <v>145</v>
      </c>
      <c r="Q51" s="76"/>
      <c r="R51" s="76" t="s">
        <v>63</v>
      </c>
      <c r="S51" s="79" t="str">
        <f>IFERROR(VLOOKUP(H51, Level_Map!A:B, 2, FALSE), "")</f>
        <v>L4</v>
      </c>
      <c r="T51" s="76" t="str">
        <f>IFERROR(VLOOKUP(I51, Function_BU_Map!A:B, 2, FALSE), "")</f>
        <v>Tech</v>
      </c>
      <c r="U51" s="76" t="str">
        <f t="shared" si="1"/>
        <v>Active</v>
      </c>
      <c r="V51" s="76" t="str">
        <f t="shared" si="2"/>
        <v>Q2 2022</v>
      </c>
      <c r="W51" s="76" t="str">
        <f t="shared" si="4"/>
        <v/>
      </c>
      <c r="X51" s="76">
        <f t="shared" si="3"/>
        <v>2022</v>
      </c>
      <c r="Y51" s="5"/>
      <c r="Z51" s="5"/>
    </row>
    <row r="52" ht="14.25" customHeight="1">
      <c r="A52" s="76" t="s">
        <v>333</v>
      </c>
      <c r="B52" s="76" t="s">
        <v>334</v>
      </c>
      <c r="C52" s="77">
        <v>45038.0</v>
      </c>
      <c r="D52" s="76" t="s">
        <v>335</v>
      </c>
      <c r="E52" s="76" t="s">
        <v>100</v>
      </c>
      <c r="F52" s="76" t="s">
        <v>101</v>
      </c>
      <c r="G52" s="76" t="s">
        <v>90</v>
      </c>
      <c r="H52" s="76" t="s">
        <v>118</v>
      </c>
      <c r="I52" s="76" t="s">
        <v>14</v>
      </c>
      <c r="J52" s="76" t="s">
        <v>193</v>
      </c>
      <c r="K52" s="76" t="s">
        <v>208</v>
      </c>
      <c r="L52" s="76"/>
      <c r="M52" s="76" t="s">
        <v>189</v>
      </c>
      <c r="N52" s="76" t="s">
        <v>179</v>
      </c>
      <c r="O52" s="78">
        <v>45171.0</v>
      </c>
      <c r="P52" s="76" t="s">
        <v>180</v>
      </c>
      <c r="Q52" s="76" t="s">
        <v>27</v>
      </c>
      <c r="R52" s="76" t="s">
        <v>58</v>
      </c>
      <c r="S52" s="79" t="str">
        <f>IFERROR(VLOOKUP(H52, Level_Map!A:B, 2, FALSE), "")</f>
        <v>L4</v>
      </c>
      <c r="T52" s="76" t="str">
        <f>IFERROR(VLOOKUP(I52, Function_BU_Map!A:B, 2, FALSE), "")</f>
        <v>Tech</v>
      </c>
      <c r="U52" s="76" t="str">
        <f t="shared" si="1"/>
        <v>Exited</v>
      </c>
      <c r="V52" s="76" t="str">
        <f t="shared" si="2"/>
        <v>Q2 2023</v>
      </c>
      <c r="W52" s="76" t="str">
        <f t="shared" si="4"/>
        <v>Q3 2023</v>
      </c>
      <c r="X52" s="76">
        <f t="shared" si="3"/>
        <v>2023</v>
      </c>
      <c r="Y52" s="5"/>
      <c r="Z52" s="5"/>
    </row>
    <row r="53" ht="14.25" customHeight="1">
      <c r="A53" s="76" t="s">
        <v>336</v>
      </c>
      <c r="B53" s="76" t="s">
        <v>337</v>
      </c>
      <c r="C53" s="77">
        <v>45340.0</v>
      </c>
      <c r="D53" s="76" t="s">
        <v>338</v>
      </c>
      <c r="E53" s="76" t="s">
        <v>100</v>
      </c>
      <c r="F53" s="76" t="s">
        <v>101</v>
      </c>
      <c r="G53" s="76" t="s">
        <v>102</v>
      </c>
      <c r="H53" s="76" t="s">
        <v>230</v>
      </c>
      <c r="I53" s="76" t="s">
        <v>18</v>
      </c>
      <c r="J53" s="76" t="s">
        <v>119</v>
      </c>
      <c r="K53" s="76" t="s">
        <v>150</v>
      </c>
      <c r="L53" s="76"/>
      <c r="M53" s="76" t="s">
        <v>121</v>
      </c>
      <c r="N53" s="76" t="s">
        <v>184</v>
      </c>
      <c r="O53" s="76"/>
      <c r="P53" s="76" t="s">
        <v>10</v>
      </c>
      <c r="Q53" s="76"/>
      <c r="R53" s="76" t="s">
        <v>61</v>
      </c>
      <c r="S53" s="79" t="str">
        <f>IFERROR(VLOOKUP(H53, Level_Map!A:B, 2, FALSE), "")</f>
        <v>L6</v>
      </c>
      <c r="T53" s="76" t="str">
        <f>IFERROR(VLOOKUP(I53, Function_BU_Map!A:B, 2, FALSE), "")</f>
        <v>Corp</v>
      </c>
      <c r="U53" s="76" t="str">
        <f t="shared" si="1"/>
        <v>Active</v>
      </c>
      <c r="V53" s="76" t="str">
        <f t="shared" si="2"/>
        <v>Q1 2024</v>
      </c>
      <c r="W53" s="76" t="str">
        <f t="shared" si="4"/>
        <v/>
      </c>
      <c r="X53" s="76">
        <f t="shared" si="3"/>
        <v>2024</v>
      </c>
      <c r="Y53" s="5"/>
      <c r="Z53" s="5"/>
    </row>
    <row r="54" ht="14.25" customHeight="1">
      <c r="A54" s="76" t="s">
        <v>339</v>
      </c>
      <c r="B54" s="76" t="s">
        <v>340</v>
      </c>
      <c r="C54" s="77">
        <v>45131.0</v>
      </c>
      <c r="D54" s="76" t="s">
        <v>341</v>
      </c>
      <c r="E54" s="76" t="s">
        <v>88</v>
      </c>
      <c r="F54" s="76" t="s">
        <v>89</v>
      </c>
      <c r="G54" s="76" t="s">
        <v>102</v>
      </c>
      <c r="H54" s="76" t="s">
        <v>135</v>
      </c>
      <c r="I54" s="76" t="s">
        <v>17</v>
      </c>
      <c r="J54" s="76" t="s">
        <v>119</v>
      </c>
      <c r="K54" s="76" t="s">
        <v>278</v>
      </c>
      <c r="L54" s="76"/>
      <c r="M54" s="76" t="s">
        <v>121</v>
      </c>
      <c r="N54" s="76" t="s">
        <v>342</v>
      </c>
      <c r="O54" s="76"/>
      <c r="P54" s="76" t="s">
        <v>57</v>
      </c>
      <c r="Q54" s="76"/>
      <c r="R54" s="76" t="s">
        <v>63</v>
      </c>
      <c r="S54" s="79" t="str">
        <f>IFERROR(VLOOKUP(H54, Level_Map!A:B, 2, FALSE), "")</f>
        <v>L7</v>
      </c>
      <c r="T54" s="76" t="str">
        <f>IFERROR(VLOOKUP(I54, Function_BU_Map!A:B, 2, FALSE), "")</f>
        <v>Growth</v>
      </c>
      <c r="U54" s="76" t="str">
        <f t="shared" si="1"/>
        <v>Active</v>
      </c>
      <c r="V54" s="76" t="str">
        <f t="shared" si="2"/>
        <v>Q3 2023</v>
      </c>
      <c r="W54" s="76" t="str">
        <f t="shared" si="4"/>
        <v/>
      </c>
      <c r="X54" s="76">
        <f t="shared" si="3"/>
        <v>2023</v>
      </c>
      <c r="Y54" s="5"/>
      <c r="Z54" s="5"/>
    </row>
    <row r="55" ht="14.25" customHeight="1">
      <c r="A55" s="76" t="s">
        <v>343</v>
      </c>
      <c r="B55" s="76" t="s">
        <v>344</v>
      </c>
      <c r="C55" s="77">
        <v>45490.0</v>
      </c>
      <c r="D55" s="76" t="s">
        <v>345</v>
      </c>
      <c r="E55" s="76" t="s">
        <v>88</v>
      </c>
      <c r="F55" s="76" t="s">
        <v>101</v>
      </c>
      <c r="G55" s="76" t="s">
        <v>102</v>
      </c>
      <c r="H55" s="76" t="s">
        <v>164</v>
      </c>
      <c r="I55" s="76" t="s">
        <v>15</v>
      </c>
      <c r="J55" s="76" t="s">
        <v>92</v>
      </c>
      <c r="K55" s="76" t="s">
        <v>137</v>
      </c>
      <c r="L55" s="76"/>
      <c r="M55" s="76" t="s">
        <v>159</v>
      </c>
      <c r="N55" s="76" t="s">
        <v>152</v>
      </c>
      <c r="O55" s="76"/>
      <c r="P55" s="76" t="s">
        <v>34</v>
      </c>
      <c r="Q55" s="76"/>
      <c r="R55" s="76" t="s">
        <v>61</v>
      </c>
      <c r="S55" s="79" t="str">
        <f>IFERROR(VLOOKUP(H55, Level_Map!A:B, 2, FALSE), "")</f>
        <v>L5</v>
      </c>
      <c r="T55" s="76" t="str">
        <f>IFERROR(VLOOKUP(I55, Function_BU_Map!A:B, 2, FALSE), "")</f>
        <v>Ops</v>
      </c>
      <c r="U55" s="76" t="str">
        <f t="shared" si="1"/>
        <v>Active</v>
      </c>
      <c r="V55" s="76" t="str">
        <f t="shared" si="2"/>
        <v>Q3 2024</v>
      </c>
      <c r="W55" s="76" t="str">
        <f t="shared" si="4"/>
        <v/>
      </c>
      <c r="X55" s="76">
        <f t="shared" si="3"/>
        <v>2024</v>
      </c>
      <c r="Y55" s="5"/>
      <c r="Z55" s="5"/>
    </row>
    <row r="56" ht="14.25" customHeight="1">
      <c r="A56" s="76" t="s">
        <v>346</v>
      </c>
      <c r="B56" s="76" t="s">
        <v>347</v>
      </c>
      <c r="C56" s="77">
        <v>45863.0</v>
      </c>
      <c r="D56" s="76" t="s">
        <v>348</v>
      </c>
      <c r="E56" s="76" t="s">
        <v>100</v>
      </c>
      <c r="F56" s="76" t="s">
        <v>89</v>
      </c>
      <c r="G56" s="76" t="s">
        <v>102</v>
      </c>
      <c r="H56" s="76" t="s">
        <v>164</v>
      </c>
      <c r="I56" s="76" t="s">
        <v>19</v>
      </c>
      <c r="J56" s="76" t="s">
        <v>92</v>
      </c>
      <c r="K56" s="76" t="s">
        <v>128</v>
      </c>
      <c r="L56" s="76"/>
      <c r="M56" s="76" t="s">
        <v>94</v>
      </c>
      <c r="N56" s="76" t="s">
        <v>293</v>
      </c>
      <c r="O56" s="76"/>
      <c r="P56" s="76" t="s">
        <v>55</v>
      </c>
      <c r="Q56" s="76"/>
      <c r="R56" s="76" t="s">
        <v>58</v>
      </c>
      <c r="S56" s="79" t="str">
        <f>IFERROR(VLOOKUP(H56, Level_Map!A:B, 2, FALSE), "")</f>
        <v>L5</v>
      </c>
      <c r="T56" s="76" t="str">
        <f>IFERROR(VLOOKUP(I56, Function_BU_Map!A:B, 2, FALSE), "")</f>
        <v>Tech</v>
      </c>
      <c r="U56" s="76" t="str">
        <f t="shared" si="1"/>
        <v>Active</v>
      </c>
      <c r="V56" s="76" t="str">
        <f t="shared" si="2"/>
        <v>Q3 2025</v>
      </c>
      <c r="W56" s="76" t="str">
        <f t="shared" si="4"/>
        <v/>
      </c>
      <c r="X56" s="76">
        <f t="shared" si="3"/>
        <v>2025</v>
      </c>
      <c r="Y56" s="5"/>
      <c r="Z56" s="5"/>
    </row>
    <row r="57" ht="14.25" customHeight="1">
      <c r="A57" s="76" t="s">
        <v>349</v>
      </c>
      <c r="B57" s="76" t="s">
        <v>350</v>
      </c>
      <c r="C57" s="77">
        <v>45309.0</v>
      </c>
      <c r="D57" s="76" t="s">
        <v>351</v>
      </c>
      <c r="E57" s="76" t="s">
        <v>100</v>
      </c>
      <c r="F57" s="76" t="s">
        <v>101</v>
      </c>
      <c r="G57" s="76" t="s">
        <v>102</v>
      </c>
      <c r="H57" s="76" t="s">
        <v>230</v>
      </c>
      <c r="I57" s="76" t="s">
        <v>17</v>
      </c>
      <c r="J57" s="76" t="s">
        <v>92</v>
      </c>
      <c r="K57" s="76" t="s">
        <v>278</v>
      </c>
      <c r="L57" s="76"/>
      <c r="M57" s="76" t="s">
        <v>138</v>
      </c>
      <c r="N57" s="76" t="s">
        <v>144</v>
      </c>
      <c r="O57" s="76"/>
      <c r="P57" s="76" t="s">
        <v>23</v>
      </c>
      <c r="Q57" s="76"/>
      <c r="R57" s="76" t="s">
        <v>61</v>
      </c>
      <c r="S57" s="79" t="str">
        <f>IFERROR(VLOOKUP(H57, Level_Map!A:B, 2, FALSE), "")</f>
        <v>L6</v>
      </c>
      <c r="T57" s="76" t="str">
        <f>IFERROR(VLOOKUP(I57, Function_BU_Map!A:B, 2, FALSE), "")</f>
        <v>Growth</v>
      </c>
      <c r="U57" s="76" t="str">
        <f t="shared" si="1"/>
        <v>Active</v>
      </c>
      <c r="V57" s="76" t="str">
        <f t="shared" si="2"/>
        <v>Q1 2024</v>
      </c>
      <c r="W57" s="76" t="str">
        <f t="shared" si="4"/>
        <v/>
      </c>
      <c r="X57" s="76">
        <f t="shared" si="3"/>
        <v>2024</v>
      </c>
      <c r="Y57" s="5"/>
      <c r="Z57" s="5"/>
    </row>
    <row r="58" ht="14.25" customHeight="1">
      <c r="A58" s="76" t="s">
        <v>352</v>
      </c>
      <c r="B58" s="76" t="s">
        <v>353</v>
      </c>
      <c r="C58" s="77">
        <v>44895.0</v>
      </c>
      <c r="D58" s="76" t="s">
        <v>354</v>
      </c>
      <c r="E58" s="76" t="s">
        <v>88</v>
      </c>
      <c r="F58" s="76" t="s">
        <v>200</v>
      </c>
      <c r="G58" s="76" t="s">
        <v>102</v>
      </c>
      <c r="H58" s="76" t="s">
        <v>91</v>
      </c>
      <c r="I58" s="76" t="s">
        <v>14</v>
      </c>
      <c r="J58" s="76" t="s">
        <v>92</v>
      </c>
      <c r="K58" s="76" t="s">
        <v>355</v>
      </c>
      <c r="L58" s="76"/>
      <c r="M58" s="76" t="s">
        <v>189</v>
      </c>
      <c r="N58" s="76" t="s">
        <v>212</v>
      </c>
      <c r="O58" s="76"/>
      <c r="P58" s="76" t="s">
        <v>245</v>
      </c>
      <c r="Q58" s="76"/>
      <c r="R58" s="76" t="s">
        <v>63</v>
      </c>
      <c r="S58" s="79" t="str">
        <f>IFERROR(VLOOKUP(H58, Level_Map!A:B, 2, FALSE), "")</f>
        <v>L2</v>
      </c>
      <c r="T58" s="76" t="str">
        <f>IFERROR(VLOOKUP(I58, Function_BU_Map!A:B, 2, FALSE), "")</f>
        <v>Tech</v>
      </c>
      <c r="U58" s="76" t="str">
        <f t="shared" si="1"/>
        <v>Active</v>
      </c>
      <c r="V58" s="76" t="str">
        <f t="shared" si="2"/>
        <v>Q4 2022</v>
      </c>
      <c r="W58" s="76" t="str">
        <f t="shared" si="4"/>
        <v/>
      </c>
      <c r="X58" s="76">
        <f t="shared" si="3"/>
        <v>2022</v>
      </c>
      <c r="Y58" s="5"/>
      <c r="Z58" s="5"/>
    </row>
    <row r="59" ht="14.25" customHeight="1">
      <c r="A59" s="76" t="s">
        <v>356</v>
      </c>
      <c r="B59" s="76" t="s">
        <v>357</v>
      </c>
      <c r="C59" s="77">
        <v>45320.0</v>
      </c>
      <c r="D59" s="76" t="s">
        <v>358</v>
      </c>
      <c r="E59" s="76" t="s">
        <v>100</v>
      </c>
      <c r="F59" s="76" t="s">
        <v>101</v>
      </c>
      <c r="G59" s="76" t="s">
        <v>102</v>
      </c>
      <c r="H59" s="76" t="s">
        <v>111</v>
      </c>
      <c r="I59" s="76" t="s">
        <v>18</v>
      </c>
      <c r="J59" s="76" t="s">
        <v>119</v>
      </c>
      <c r="K59" s="76" t="s">
        <v>172</v>
      </c>
      <c r="L59" s="76"/>
      <c r="M59" s="76" t="s">
        <v>121</v>
      </c>
      <c r="N59" s="76" t="s">
        <v>195</v>
      </c>
      <c r="O59" s="76"/>
      <c r="P59" s="76" t="s">
        <v>23</v>
      </c>
      <c r="Q59" s="76"/>
      <c r="R59" s="76" t="s">
        <v>61</v>
      </c>
      <c r="S59" s="79" t="str">
        <f>IFERROR(VLOOKUP(H59, Level_Map!A:B, 2, FALSE), "")</f>
        <v>L3</v>
      </c>
      <c r="T59" s="76" t="str">
        <f>IFERROR(VLOOKUP(I59, Function_BU_Map!A:B, 2, FALSE), "")</f>
        <v>Corp</v>
      </c>
      <c r="U59" s="76" t="str">
        <f t="shared" si="1"/>
        <v>Active</v>
      </c>
      <c r="V59" s="76" t="str">
        <f t="shared" si="2"/>
        <v>Q1 2024</v>
      </c>
      <c r="W59" s="76" t="str">
        <f t="shared" si="4"/>
        <v/>
      </c>
      <c r="X59" s="76">
        <f t="shared" si="3"/>
        <v>2024</v>
      </c>
      <c r="Y59" s="5"/>
      <c r="Z59" s="5"/>
    </row>
    <row r="60" ht="14.25" customHeight="1">
      <c r="A60" s="76" t="s">
        <v>359</v>
      </c>
      <c r="B60" s="76" t="s">
        <v>360</v>
      </c>
      <c r="C60" s="77">
        <v>45289.0</v>
      </c>
      <c r="D60" s="76" t="s">
        <v>361</v>
      </c>
      <c r="E60" s="76" t="s">
        <v>88</v>
      </c>
      <c r="F60" s="76" t="s">
        <v>101</v>
      </c>
      <c r="G60" s="76" t="s">
        <v>90</v>
      </c>
      <c r="H60" s="76" t="s">
        <v>118</v>
      </c>
      <c r="I60" s="76" t="s">
        <v>18</v>
      </c>
      <c r="J60" s="76" t="s">
        <v>193</v>
      </c>
      <c r="K60" s="76" t="s">
        <v>188</v>
      </c>
      <c r="L60" s="76"/>
      <c r="M60" s="76" t="s">
        <v>138</v>
      </c>
      <c r="N60" s="76" t="s">
        <v>160</v>
      </c>
      <c r="O60" s="78">
        <v>45533.0</v>
      </c>
      <c r="P60" s="76" t="s">
        <v>65</v>
      </c>
      <c r="Q60" s="76" t="s">
        <v>39</v>
      </c>
      <c r="R60" s="76" t="s">
        <v>58</v>
      </c>
      <c r="S60" s="79" t="str">
        <f>IFERROR(VLOOKUP(H60, Level_Map!A:B, 2, FALSE), "")</f>
        <v>L4</v>
      </c>
      <c r="T60" s="76" t="str">
        <f>IFERROR(VLOOKUP(I60, Function_BU_Map!A:B, 2, FALSE), "")</f>
        <v>Corp</v>
      </c>
      <c r="U60" s="76" t="str">
        <f t="shared" si="1"/>
        <v>Exited</v>
      </c>
      <c r="V60" s="76" t="str">
        <f t="shared" si="2"/>
        <v>Q4 2023</v>
      </c>
      <c r="W60" s="76" t="str">
        <f t="shared" si="4"/>
        <v>Q3 2024</v>
      </c>
      <c r="X60" s="76">
        <f t="shared" si="3"/>
        <v>2023</v>
      </c>
      <c r="Y60" s="5"/>
      <c r="Z60" s="5"/>
    </row>
    <row r="61" ht="14.25" customHeight="1">
      <c r="A61" s="76" t="s">
        <v>362</v>
      </c>
      <c r="B61" s="76" t="s">
        <v>363</v>
      </c>
      <c r="C61" s="77">
        <v>45108.0</v>
      </c>
      <c r="D61" s="76" t="s">
        <v>364</v>
      </c>
      <c r="E61" s="76" t="s">
        <v>100</v>
      </c>
      <c r="F61" s="76" t="s">
        <v>101</v>
      </c>
      <c r="G61" s="76" t="s">
        <v>102</v>
      </c>
      <c r="H61" s="76" t="s">
        <v>111</v>
      </c>
      <c r="I61" s="76" t="s">
        <v>14</v>
      </c>
      <c r="J61" s="76" t="s">
        <v>119</v>
      </c>
      <c r="K61" s="76" t="s">
        <v>355</v>
      </c>
      <c r="L61" s="76"/>
      <c r="M61" s="76" t="s">
        <v>105</v>
      </c>
      <c r="N61" s="76" t="s">
        <v>256</v>
      </c>
      <c r="O61" s="76"/>
      <c r="P61" s="76" t="s">
        <v>57</v>
      </c>
      <c r="Q61" s="76"/>
      <c r="R61" s="76" t="s">
        <v>63</v>
      </c>
      <c r="S61" s="79" t="str">
        <f>IFERROR(VLOOKUP(H61, Level_Map!A:B, 2, FALSE), "")</f>
        <v>L3</v>
      </c>
      <c r="T61" s="76" t="str">
        <f>IFERROR(VLOOKUP(I61, Function_BU_Map!A:B, 2, FALSE), "")</f>
        <v>Tech</v>
      </c>
      <c r="U61" s="76" t="str">
        <f t="shared" si="1"/>
        <v>Active</v>
      </c>
      <c r="V61" s="76" t="str">
        <f t="shared" si="2"/>
        <v>Q3 2023</v>
      </c>
      <c r="W61" s="76" t="str">
        <f t="shared" si="4"/>
        <v/>
      </c>
      <c r="X61" s="76">
        <f t="shared" si="3"/>
        <v>2023</v>
      </c>
      <c r="Y61" s="5"/>
      <c r="Z61" s="5"/>
    </row>
    <row r="62" ht="14.25" customHeight="1">
      <c r="A62" s="76" t="s">
        <v>365</v>
      </c>
      <c r="B62" s="76" t="s">
        <v>366</v>
      </c>
      <c r="C62" s="77">
        <v>45889.0</v>
      </c>
      <c r="D62" s="76" t="s">
        <v>367</v>
      </c>
      <c r="E62" s="76" t="s">
        <v>100</v>
      </c>
      <c r="F62" s="76" t="s">
        <v>101</v>
      </c>
      <c r="G62" s="76" t="s">
        <v>102</v>
      </c>
      <c r="H62" s="76" t="s">
        <v>149</v>
      </c>
      <c r="I62" s="76" t="s">
        <v>19</v>
      </c>
      <c r="J62" s="76" t="s">
        <v>92</v>
      </c>
      <c r="K62" s="76" t="s">
        <v>368</v>
      </c>
      <c r="L62" s="76"/>
      <c r="M62" s="76" t="s">
        <v>173</v>
      </c>
      <c r="N62" s="76" t="s">
        <v>139</v>
      </c>
      <c r="O62" s="76"/>
      <c r="P62" s="76" t="s">
        <v>96</v>
      </c>
      <c r="Q62" s="76"/>
      <c r="R62" s="76" t="s">
        <v>58</v>
      </c>
      <c r="S62" s="79" t="str">
        <f>IFERROR(VLOOKUP(H62, Level_Map!A:B, 2, FALSE), "")</f>
        <v>L1</v>
      </c>
      <c r="T62" s="76" t="str">
        <f>IFERROR(VLOOKUP(I62, Function_BU_Map!A:B, 2, FALSE), "")</f>
        <v>Tech</v>
      </c>
      <c r="U62" s="76" t="str">
        <f t="shared" si="1"/>
        <v>Active</v>
      </c>
      <c r="V62" s="76" t="str">
        <f t="shared" si="2"/>
        <v>Q3 2025</v>
      </c>
      <c r="W62" s="76" t="str">
        <f t="shared" si="4"/>
        <v/>
      </c>
      <c r="X62" s="76">
        <f t="shared" si="3"/>
        <v>2025</v>
      </c>
      <c r="Y62" s="5"/>
      <c r="Z62" s="5"/>
    </row>
    <row r="63" ht="14.25" customHeight="1">
      <c r="A63" s="76" t="s">
        <v>369</v>
      </c>
      <c r="B63" s="76" t="s">
        <v>370</v>
      </c>
      <c r="C63" s="77">
        <v>44708.0</v>
      </c>
      <c r="D63" s="76" t="s">
        <v>371</v>
      </c>
      <c r="E63" s="76" t="s">
        <v>88</v>
      </c>
      <c r="F63" s="76" t="s">
        <v>89</v>
      </c>
      <c r="G63" s="76" t="s">
        <v>102</v>
      </c>
      <c r="H63" s="76" t="s">
        <v>164</v>
      </c>
      <c r="I63" s="76" t="s">
        <v>15</v>
      </c>
      <c r="J63" s="76" t="s">
        <v>157</v>
      </c>
      <c r="K63" s="76" t="s">
        <v>260</v>
      </c>
      <c r="L63" s="76"/>
      <c r="M63" s="76" t="s">
        <v>224</v>
      </c>
      <c r="N63" s="76" t="s">
        <v>114</v>
      </c>
      <c r="O63" s="76"/>
      <c r="P63" s="76" t="s">
        <v>316</v>
      </c>
      <c r="Q63" s="76"/>
      <c r="R63" s="76" t="s">
        <v>63</v>
      </c>
      <c r="S63" s="79" t="str">
        <f>IFERROR(VLOOKUP(H63, Level_Map!A:B, 2, FALSE), "")</f>
        <v>L5</v>
      </c>
      <c r="T63" s="76" t="str">
        <f>IFERROR(VLOOKUP(I63, Function_BU_Map!A:B, 2, FALSE), "")</f>
        <v>Ops</v>
      </c>
      <c r="U63" s="76" t="str">
        <f t="shared" si="1"/>
        <v>Active</v>
      </c>
      <c r="V63" s="76" t="str">
        <f t="shared" si="2"/>
        <v>Q2 2022</v>
      </c>
      <c r="W63" s="76" t="str">
        <f t="shared" si="4"/>
        <v/>
      </c>
      <c r="X63" s="76">
        <f t="shared" si="3"/>
        <v>2022</v>
      </c>
      <c r="Y63" s="5"/>
      <c r="Z63" s="5"/>
    </row>
    <row r="64" ht="14.25" customHeight="1">
      <c r="A64" s="76" t="s">
        <v>372</v>
      </c>
      <c r="B64" s="76" t="s">
        <v>373</v>
      </c>
      <c r="C64" s="77">
        <v>45809.0</v>
      </c>
      <c r="D64" s="76" t="s">
        <v>374</v>
      </c>
      <c r="E64" s="76" t="s">
        <v>100</v>
      </c>
      <c r="F64" s="76" t="s">
        <v>200</v>
      </c>
      <c r="G64" s="76" t="s">
        <v>102</v>
      </c>
      <c r="H64" s="76" t="s">
        <v>149</v>
      </c>
      <c r="I64" s="76" t="s">
        <v>19</v>
      </c>
      <c r="J64" s="76" t="s">
        <v>119</v>
      </c>
      <c r="K64" s="76" t="s">
        <v>128</v>
      </c>
      <c r="L64" s="76"/>
      <c r="M64" s="76" t="s">
        <v>279</v>
      </c>
      <c r="N64" s="76" t="s">
        <v>303</v>
      </c>
      <c r="O64" s="76"/>
      <c r="P64" s="76" t="s">
        <v>24</v>
      </c>
      <c r="Q64" s="76"/>
      <c r="R64" s="76" t="s">
        <v>58</v>
      </c>
      <c r="S64" s="79" t="str">
        <f>IFERROR(VLOOKUP(H64, Level_Map!A:B, 2, FALSE), "")</f>
        <v>L1</v>
      </c>
      <c r="T64" s="76" t="str">
        <f>IFERROR(VLOOKUP(I64, Function_BU_Map!A:B, 2, FALSE), "")</f>
        <v>Tech</v>
      </c>
      <c r="U64" s="76" t="str">
        <f t="shared" si="1"/>
        <v>Active</v>
      </c>
      <c r="V64" s="76" t="str">
        <f t="shared" si="2"/>
        <v>Q2 2025</v>
      </c>
      <c r="W64" s="76" t="str">
        <f t="shared" si="4"/>
        <v/>
      </c>
      <c r="X64" s="76">
        <f t="shared" si="3"/>
        <v>2025</v>
      </c>
      <c r="Y64" s="5"/>
      <c r="Z64" s="5"/>
    </row>
    <row r="65" ht="14.25" customHeight="1">
      <c r="A65" s="76" t="s">
        <v>375</v>
      </c>
      <c r="B65" s="76" t="s">
        <v>376</v>
      </c>
      <c r="C65" s="77">
        <v>45862.0</v>
      </c>
      <c r="D65" s="76" t="s">
        <v>377</v>
      </c>
      <c r="E65" s="76" t="s">
        <v>88</v>
      </c>
      <c r="F65" s="76" t="s">
        <v>101</v>
      </c>
      <c r="G65" s="76" t="s">
        <v>102</v>
      </c>
      <c r="H65" s="76" t="s">
        <v>103</v>
      </c>
      <c r="I65" s="76" t="s">
        <v>14</v>
      </c>
      <c r="J65" s="76" t="s">
        <v>119</v>
      </c>
      <c r="K65" s="76" t="s">
        <v>355</v>
      </c>
      <c r="L65" s="76"/>
      <c r="M65" s="76" t="s">
        <v>236</v>
      </c>
      <c r="N65" s="76" t="s">
        <v>160</v>
      </c>
      <c r="O65" s="76"/>
      <c r="P65" s="76" t="s">
        <v>55</v>
      </c>
      <c r="Q65" s="76"/>
      <c r="R65" s="76" t="s">
        <v>58</v>
      </c>
      <c r="S65" s="79" t="str">
        <f>IFERROR(VLOOKUP(H65, Level_Map!A:B, 2, FALSE), "")</f>
        <v>L8</v>
      </c>
      <c r="T65" s="76" t="str">
        <f>IFERROR(VLOOKUP(I65, Function_BU_Map!A:B, 2, FALSE), "")</f>
        <v>Tech</v>
      </c>
      <c r="U65" s="76" t="str">
        <f t="shared" si="1"/>
        <v>Active</v>
      </c>
      <c r="V65" s="76" t="str">
        <f t="shared" si="2"/>
        <v>Q3 2025</v>
      </c>
      <c r="W65" s="76" t="str">
        <f t="shared" si="4"/>
        <v/>
      </c>
      <c r="X65" s="76">
        <f t="shared" si="3"/>
        <v>2025</v>
      </c>
      <c r="Y65" s="5"/>
      <c r="Z65" s="5"/>
    </row>
    <row r="66" ht="14.25" customHeight="1">
      <c r="A66" s="76" t="s">
        <v>378</v>
      </c>
      <c r="B66" s="76" t="s">
        <v>379</v>
      </c>
      <c r="C66" s="77">
        <v>44912.0</v>
      </c>
      <c r="D66" s="76" t="s">
        <v>380</v>
      </c>
      <c r="E66" s="76" t="s">
        <v>88</v>
      </c>
      <c r="F66" s="76" t="s">
        <v>156</v>
      </c>
      <c r="G66" s="76" t="s">
        <v>102</v>
      </c>
      <c r="H66" s="76" t="s">
        <v>135</v>
      </c>
      <c r="I66" s="76" t="s">
        <v>20</v>
      </c>
      <c r="J66" s="76" t="s">
        <v>92</v>
      </c>
      <c r="K66" s="76" t="s">
        <v>302</v>
      </c>
      <c r="L66" s="76"/>
      <c r="M66" s="76" t="s">
        <v>232</v>
      </c>
      <c r="N66" s="76" t="s">
        <v>225</v>
      </c>
      <c r="O66" s="76"/>
      <c r="P66" s="76" t="s">
        <v>381</v>
      </c>
      <c r="Q66" s="76"/>
      <c r="R66" s="76" t="s">
        <v>63</v>
      </c>
      <c r="S66" s="79" t="str">
        <f>IFERROR(VLOOKUP(H66, Level_Map!A:B, 2, FALSE), "")</f>
        <v>L7</v>
      </c>
      <c r="T66" s="76" t="str">
        <f>IFERROR(VLOOKUP(I66, Function_BU_Map!A:B, 2, FALSE), "")</f>
        <v>Risk</v>
      </c>
      <c r="U66" s="76" t="str">
        <f t="shared" si="1"/>
        <v>Active</v>
      </c>
      <c r="V66" s="76" t="str">
        <f t="shared" si="2"/>
        <v>Q4 2022</v>
      </c>
      <c r="W66" s="76" t="str">
        <f t="shared" si="4"/>
        <v/>
      </c>
      <c r="X66" s="76">
        <f t="shared" si="3"/>
        <v>2022</v>
      </c>
      <c r="Y66" s="5"/>
      <c r="Z66" s="5"/>
    </row>
    <row r="67" ht="14.25" customHeight="1">
      <c r="A67" s="76" t="s">
        <v>382</v>
      </c>
      <c r="B67" s="76" t="s">
        <v>383</v>
      </c>
      <c r="C67" s="77">
        <v>45655.0</v>
      </c>
      <c r="D67" s="76" t="s">
        <v>384</v>
      </c>
      <c r="E67" s="76" t="s">
        <v>100</v>
      </c>
      <c r="F67" s="76" t="s">
        <v>101</v>
      </c>
      <c r="G67" s="76" t="s">
        <v>90</v>
      </c>
      <c r="H67" s="76" t="s">
        <v>118</v>
      </c>
      <c r="I67" s="76" t="s">
        <v>16</v>
      </c>
      <c r="J67" s="76" t="s">
        <v>127</v>
      </c>
      <c r="K67" s="76" t="s">
        <v>112</v>
      </c>
      <c r="L67" s="76"/>
      <c r="M67" s="76" t="s">
        <v>166</v>
      </c>
      <c r="N67" s="76" t="s">
        <v>271</v>
      </c>
      <c r="O67" s="78">
        <v>45810.0</v>
      </c>
      <c r="P67" s="76" t="s">
        <v>28</v>
      </c>
      <c r="Q67" s="76" t="s">
        <v>24</v>
      </c>
      <c r="R67" s="76" t="s">
        <v>58</v>
      </c>
      <c r="S67" s="79" t="str">
        <f>IFERROR(VLOOKUP(H67, Level_Map!A:B, 2, FALSE), "")</f>
        <v>L4</v>
      </c>
      <c r="T67" s="76" t="str">
        <f>IFERROR(VLOOKUP(I67, Function_BU_Map!A:B, 2, FALSE), "")</f>
        <v>Tech</v>
      </c>
      <c r="U67" s="76" t="str">
        <f t="shared" si="1"/>
        <v>Exited</v>
      </c>
      <c r="V67" s="76" t="str">
        <f t="shared" si="2"/>
        <v>Q4 2024</v>
      </c>
      <c r="W67" s="76" t="str">
        <f t="shared" si="4"/>
        <v>Q2 2025</v>
      </c>
      <c r="X67" s="76">
        <f t="shared" si="3"/>
        <v>2024</v>
      </c>
      <c r="Y67" s="5"/>
      <c r="Z67" s="5"/>
    </row>
    <row r="68" ht="14.25" customHeight="1">
      <c r="A68" s="76" t="s">
        <v>385</v>
      </c>
      <c r="B68" s="76" t="s">
        <v>386</v>
      </c>
      <c r="C68" s="77">
        <v>44896.0</v>
      </c>
      <c r="D68" s="76" t="s">
        <v>387</v>
      </c>
      <c r="E68" s="76" t="s">
        <v>100</v>
      </c>
      <c r="F68" s="76" t="s">
        <v>89</v>
      </c>
      <c r="G68" s="76" t="s">
        <v>102</v>
      </c>
      <c r="H68" s="76" t="s">
        <v>111</v>
      </c>
      <c r="I68" s="76" t="s">
        <v>14</v>
      </c>
      <c r="J68" s="76" t="s">
        <v>127</v>
      </c>
      <c r="K68" s="76" t="s">
        <v>355</v>
      </c>
      <c r="L68" s="76"/>
      <c r="M68" s="76" t="s">
        <v>236</v>
      </c>
      <c r="N68" s="76" t="s">
        <v>152</v>
      </c>
      <c r="O68" s="76"/>
      <c r="P68" s="76" t="s">
        <v>381</v>
      </c>
      <c r="Q68" s="76"/>
      <c r="R68" s="76" t="s">
        <v>63</v>
      </c>
      <c r="S68" s="79" t="str">
        <f>IFERROR(VLOOKUP(H68, Level_Map!A:B, 2, FALSE), "")</f>
        <v>L3</v>
      </c>
      <c r="T68" s="76" t="str">
        <f>IFERROR(VLOOKUP(I68, Function_BU_Map!A:B, 2, FALSE), "")</f>
        <v>Tech</v>
      </c>
      <c r="U68" s="76" t="str">
        <f t="shared" si="1"/>
        <v>Active</v>
      </c>
      <c r="V68" s="76" t="str">
        <f t="shared" si="2"/>
        <v>Q4 2022</v>
      </c>
      <c r="W68" s="76" t="str">
        <f t="shared" si="4"/>
        <v/>
      </c>
      <c r="X68" s="76">
        <f t="shared" si="3"/>
        <v>2022</v>
      </c>
      <c r="Y68" s="5"/>
      <c r="Z68" s="5"/>
    </row>
    <row r="69" ht="14.25" customHeight="1">
      <c r="A69" s="76" t="s">
        <v>388</v>
      </c>
      <c r="B69" s="76" t="s">
        <v>389</v>
      </c>
      <c r="C69" s="77">
        <v>45508.0</v>
      </c>
      <c r="D69" s="76" t="s">
        <v>390</v>
      </c>
      <c r="E69" s="76" t="s">
        <v>88</v>
      </c>
      <c r="F69" s="76" t="s">
        <v>101</v>
      </c>
      <c r="G69" s="76" t="s">
        <v>102</v>
      </c>
      <c r="H69" s="76" t="s">
        <v>164</v>
      </c>
      <c r="I69" s="76" t="s">
        <v>14</v>
      </c>
      <c r="J69" s="76" t="s">
        <v>193</v>
      </c>
      <c r="K69" s="76" t="s">
        <v>355</v>
      </c>
      <c r="L69" s="76"/>
      <c r="M69" s="76" t="s">
        <v>173</v>
      </c>
      <c r="N69" s="76" t="s">
        <v>391</v>
      </c>
      <c r="O69" s="76"/>
      <c r="P69" s="76" t="s">
        <v>39</v>
      </c>
      <c r="Q69" s="76"/>
      <c r="R69" s="76" t="s">
        <v>61</v>
      </c>
      <c r="S69" s="79" t="str">
        <f>IFERROR(VLOOKUP(H69, Level_Map!A:B, 2, FALSE), "")</f>
        <v>L5</v>
      </c>
      <c r="T69" s="76" t="str">
        <f>IFERROR(VLOOKUP(I69, Function_BU_Map!A:B, 2, FALSE), "")</f>
        <v>Tech</v>
      </c>
      <c r="U69" s="76" t="str">
        <f t="shared" si="1"/>
        <v>Active</v>
      </c>
      <c r="V69" s="76" t="str">
        <f t="shared" si="2"/>
        <v>Q3 2024</v>
      </c>
      <c r="W69" s="76" t="str">
        <f t="shared" si="4"/>
        <v/>
      </c>
      <c r="X69" s="76">
        <f t="shared" si="3"/>
        <v>2024</v>
      </c>
      <c r="Y69" s="5"/>
      <c r="Z69" s="5"/>
    </row>
    <row r="70" ht="14.25" customHeight="1">
      <c r="A70" s="76" t="s">
        <v>392</v>
      </c>
      <c r="B70" s="76" t="s">
        <v>393</v>
      </c>
      <c r="C70" s="77">
        <v>45339.0</v>
      </c>
      <c r="D70" s="76" t="s">
        <v>394</v>
      </c>
      <c r="E70" s="76" t="s">
        <v>100</v>
      </c>
      <c r="F70" s="76" t="s">
        <v>101</v>
      </c>
      <c r="G70" s="76" t="s">
        <v>90</v>
      </c>
      <c r="H70" s="76" t="s">
        <v>111</v>
      </c>
      <c r="I70" s="76" t="s">
        <v>21</v>
      </c>
      <c r="J70" s="76" t="s">
        <v>127</v>
      </c>
      <c r="K70" s="76" t="s">
        <v>104</v>
      </c>
      <c r="L70" s="76"/>
      <c r="M70" s="76" t="s">
        <v>395</v>
      </c>
      <c r="N70" s="76" t="s">
        <v>396</v>
      </c>
      <c r="O70" s="78">
        <v>45645.0</v>
      </c>
      <c r="P70" s="76" t="s">
        <v>10</v>
      </c>
      <c r="Q70" s="76" t="s">
        <v>28</v>
      </c>
      <c r="R70" s="76" t="s">
        <v>58</v>
      </c>
      <c r="S70" s="79" t="str">
        <f>IFERROR(VLOOKUP(H70, Level_Map!A:B, 2, FALSE), "")</f>
        <v>L3</v>
      </c>
      <c r="T70" s="76" t="str">
        <f>IFERROR(VLOOKUP(I70, Function_BU_Map!A:B, 2, FALSE), "")</f>
        <v>Corp</v>
      </c>
      <c r="U70" s="76" t="str">
        <f t="shared" si="1"/>
        <v>Exited</v>
      </c>
      <c r="V70" s="76" t="str">
        <f t="shared" si="2"/>
        <v>Q1 2024</v>
      </c>
      <c r="W70" s="76" t="str">
        <f t="shared" si="4"/>
        <v>Q4 2024</v>
      </c>
      <c r="X70" s="76">
        <f t="shared" si="3"/>
        <v>2024</v>
      </c>
      <c r="Y70" s="5"/>
      <c r="Z70" s="5"/>
    </row>
    <row r="71" ht="14.25" customHeight="1">
      <c r="A71" s="76" t="s">
        <v>397</v>
      </c>
      <c r="B71" s="76" t="s">
        <v>398</v>
      </c>
      <c r="C71" s="77">
        <v>45872.0</v>
      </c>
      <c r="D71" s="76" t="s">
        <v>399</v>
      </c>
      <c r="E71" s="76" t="s">
        <v>88</v>
      </c>
      <c r="F71" s="76" t="s">
        <v>101</v>
      </c>
      <c r="G71" s="76" t="s">
        <v>90</v>
      </c>
      <c r="H71" s="76" t="s">
        <v>164</v>
      </c>
      <c r="I71" s="76" t="s">
        <v>14</v>
      </c>
      <c r="J71" s="76" t="s">
        <v>157</v>
      </c>
      <c r="K71" s="76" t="s">
        <v>355</v>
      </c>
      <c r="L71" s="76"/>
      <c r="M71" s="76" t="s">
        <v>138</v>
      </c>
      <c r="N71" s="76" t="s">
        <v>122</v>
      </c>
      <c r="O71" s="78">
        <v>45946.0</v>
      </c>
      <c r="P71" s="76" t="s">
        <v>96</v>
      </c>
      <c r="Q71" s="76" t="s">
        <v>31</v>
      </c>
      <c r="R71" s="76" t="s">
        <v>58</v>
      </c>
      <c r="S71" s="79" t="str">
        <f>IFERROR(VLOOKUP(H71, Level_Map!A:B, 2, FALSE), "")</f>
        <v>L5</v>
      </c>
      <c r="T71" s="76" t="str">
        <f>IFERROR(VLOOKUP(I71, Function_BU_Map!A:B, 2, FALSE), "")</f>
        <v>Tech</v>
      </c>
      <c r="U71" s="76" t="str">
        <f t="shared" si="1"/>
        <v>Exited</v>
      </c>
      <c r="V71" s="76" t="str">
        <f t="shared" si="2"/>
        <v>Q3 2025</v>
      </c>
      <c r="W71" s="76" t="str">
        <f t="shared" si="4"/>
        <v>Q4 2025</v>
      </c>
      <c r="X71" s="76">
        <f t="shared" si="3"/>
        <v>2025</v>
      </c>
      <c r="Y71" s="5"/>
      <c r="Z71" s="5"/>
    </row>
    <row r="72" ht="14.25" customHeight="1">
      <c r="A72" s="76" t="s">
        <v>400</v>
      </c>
      <c r="B72" s="76" t="s">
        <v>401</v>
      </c>
      <c r="C72" s="77">
        <v>45702.0</v>
      </c>
      <c r="D72" s="76" t="s">
        <v>402</v>
      </c>
      <c r="E72" s="76" t="s">
        <v>100</v>
      </c>
      <c r="F72" s="76" t="s">
        <v>101</v>
      </c>
      <c r="G72" s="76" t="s">
        <v>102</v>
      </c>
      <c r="H72" s="76" t="s">
        <v>230</v>
      </c>
      <c r="I72" s="76" t="s">
        <v>17</v>
      </c>
      <c r="J72" s="76" t="s">
        <v>127</v>
      </c>
      <c r="K72" s="76" t="s">
        <v>297</v>
      </c>
      <c r="L72" s="76"/>
      <c r="M72" s="76" t="s">
        <v>173</v>
      </c>
      <c r="N72" s="76" t="s">
        <v>184</v>
      </c>
      <c r="O72" s="76"/>
      <c r="P72" s="76" t="s">
        <v>64</v>
      </c>
      <c r="Q72" s="76"/>
      <c r="R72" s="76" t="s">
        <v>58</v>
      </c>
      <c r="S72" s="79" t="str">
        <f>IFERROR(VLOOKUP(H72, Level_Map!A:B, 2, FALSE), "")</f>
        <v>L6</v>
      </c>
      <c r="T72" s="76" t="str">
        <f>IFERROR(VLOOKUP(I72, Function_BU_Map!A:B, 2, FALSE), "")</f>
        <v>Growth</v>
      </c>
      <c r="U72" s="76" t="str">
        <f t="shared" si="1"/>
        <v>Active</v>
      </c>
      <c r="V72" s="76" t="str">
        <f t="shared" si="2"/>
        <v>Q1 2025</v>
      </c>
      <c r="W72" s="76" t="str">
        <f t="shared" si="4"/>
        <v/>
      </c>
      <c r="X72" s="76">
        <f t="shared" si="3"/>
        <v>2025</v>
      </c>
      <c r="Y72" s="5"/>
      <c r="Z72" s="5"/>
    </row>
    <row r="73" ht="14.25" customHeight="1">
      <c r="A73" s="76" t="s">
        <v>403</v>
      </c>
      <c r="B73" s="76" t="s">
        <v>404</v>
      </c>
      <c r="C73" s="77">
        <v>45011.0</v>
      </c>
      <c r="D73" s="76" t="s">
        <v>405</v>
      </c>
      <c r="E73" s="76" t="s">
        <v>88</v>
      </c>
      <c r="F73" s="76" t="s">
        <v>101</v>
      </c>
      <c r="G73" s="76" t="s">
        <v>90</v>
      </c>
      <c r="H73" s="76" t="s">
        <v>164</v>
      </c>
      <c r="I73" s="76" t="s">
        <v>21</v>
      </c>
      <c r="J73" s="76" t="s">
        <v>193</v>
      </c>
      <c r="K73" s="76" t="s">
        <v>93</v>
      </c>
      <c r="L73" s="76"/>
      <c r="M73" s="76" t="s">
        <v>105</v>
      </c>
      <c r="N73" s="76" t="s">
        <v>106</v>
      </c>
      <c r="O73" s="78">
        <v>45742.0</v>
      </c>
      <c r="P73" s="76" t="s">
        <v>249</v>
      </c>
      <c r="Q73" s="76" t="s">
        <v>47</v>
      </c>
      <c r="R73" s="76" t="s">
        <v>63</v>
      </c>
      <c r="S73" s="79" t="str">
        <f>IFERROR(VLOOKUP(H73, Level_Map!A:B, 2, FALSE), "")</f>
        <v>L5</v>
      </c>
      <c r="T73" s="76" t="str">
        <f>IFERROR(VLOOKUP(I73, Function_BU_Map!A:B, 2, FALSE), "")</f>
        <v>Corp</v>
      </c>
      <c r="U73" s="76" t="str">
        <f t="shared" si="1"/>
        <v>Exited</v>
      </c>
      <c r="V73" s="76" t="str">
        <f t="shared" si="2"/>
        <v>Q1 2023</v>
      </c>
      <c r="W73" s="76" t="str">
        <f t="shared" si="4"/>
        <v>Q1 2025</v>
      </c>
      <c r="X73" s="76">
        <f t="shared" si="3"/>
        <v>2023</v>
      </c>
      <c r="Y73" s="5"/>
      <c r="Z73" s="5"/>
    </row>
    <row r="74" ht="14.25" customHeight="1">
      <c r="A74" s="76" t="s">
        <v>406</v>
      </c>
      <c r="B74" s="76" t="s">
        <v>407</v>
      </c>
      <c r="C74" s="77">
        <v>45226.0</v>
      </c>
      <c r="D74" s="76" t="s">
        <v>408</v>
      </c>
      <c r="E74" s="76" t="s">
        <v>88</v>
      </c>
      <c r="F74" s="76" t="s">
        <v>101</v>
      </c>
      <c r="G74" s="76" t="s">
        <v>102</v>
      </c>
      <c r="H74" s="76" t="s">
        <v>135</v>
      </c>
      <c r="I74" s="76" t="s">
        <v>16</v>
      </c>
      <c r="J74" s="76" t="s">
        <v>136</v>
      </c>
      <c r="K74" s="76" t="s">
        <v>201</v>
      </c>
      <c r="L74" s="76"/>
      <c r="M74" s="76" t="s">
        <v>105</v>
      </c>
      <c r="N74" s="76" t="s">
        <v>212</v>
      </c>
      <c r="O74" s="76"/>
      <c r="P74" s="76" t="s">
        <v>35</v>
      </c>
      <c r="Q74" s="76"/>
      <c r="R74" s="76" t="s">
        <v>61</v>
      </c>
      <c r="S74" s="79" t="str">
        <f>IFERROR(VLOOKUP(H74, Level_Map!A:B, 2, FALSE), "")</f>
        <v>L7</v>
      </c>
      <c r="T74" s="76" t="str">
        <f>IFERROR(VLOOKUP(I74, Function_BU_Map!A:B, 2, FALSE), "")</f>
        <v>Tech</v>
      </c>
      <c r="U74" s="76" t="str">
        <f t="shared" si="1"/>
        <v>Active</v>
      </c>
      <c r="V74" s="76" t="str">
        <f t="shared" si="2"/>
        <v>Q4 2023</v>
      </c>
      <c r="W74" s="76" t="str">
        <f t="shared" si="4"/>
        <v/>
      </c>
      <c r="X74" s="76">
        <f t="shared" si="3"/>
        <v>2023</v>
      </c>
      <c r="Y74" s="5"/>
      <c r="Z74" s="5"/>
    </row>
    <row r="75" ht="14.25" customHeight="1">
      <c r="A75" s="76" t="s">
        <v>409</v>
      </c>
      <c r="B75" s="76" t="s">
        <v>410</v>
      </c>
      <c r="C75" s="77">
        <v>44676.0</v>
      </c>
      <c r="D75" s="76" t="s">
        <v>411</v>
      </c>
      <c r="E75" s="76" t="s">
        <v>100</v>
      </c>
      <c r="F75" s="76" t="s">
        <v>101</v>
      </c>
      <c r="G75" s="76" t="s">
        <v>90</v>
      </c>
      <c r="H75" s="76" t="s">
        <v>135</v>
      </c>
      <c r="I75" s="76" t="s">
        <v>20</v>
      </c>
      <c r="J75" s="76" t="s">
        <v>157</v>
      </c>
      <c r="K75" s="76" t="s">
        <v>120</v>
      </c>
      <c r="L75" s="76"/>
      <c r="M75" s="76" t="s">
        <v>236</v>
      </c>
      <c r="N75" s="76" t="s">
        <v>144</v>
      </c>
      <c r="O75" s="78">
        <v>45175.0</v>
      </c>
      <c r="P75" s="76" t="s">
        <v>320</v>
      </c>
      <c r="Q75" s="76" t="s">
        <v>27</v>
      </c>
      <c r="R75" s="76" t="s">
        <v>61</v>
      </c>
      <c r="S75" s="79" t="str">
        <f>IFERROR(VLOOKUP(H75, Level_Map!A:B, 2, FALSE), "")</f>
        <v>L7</v>
      </c>
      <c r="T75" s="76" t="str">
        <f>IFERROR(VLOOKUP(I75, Function_BU_Map!A:B, 2, FALSE), "")</f>
        <v>Risk</v>
      </c>
      <c r="U75" s="76" t="str">
        <f t="shared" si="1"/>
        <v>Exited</v>
      </c>
      <c r="V75" s="76" t="str">
        <f t="shared" si="2"/>
        <v>Q2 2022</v>
      </c>
      <c r="W75" s="76" t="str">
        <f t="shared" si="4"/>
        <v>Q3 2023</v>
      </c>
      <c r="X75" s="76">
        <f t="shared" si="3"/>
        <v>2022</v>
      </c>
      <c r="Y75" s="5"/>
      <c r="Z75" s="5"/>
    </row>
    <row r="76" ht="14.25" customHeight="1">
      <c r="A76" s="76" t="s">
        <v>412</v>
      </c>
      <c r="B76" s="76" t="s">
        <v>413</v>
      </c>
      <c r="C76" s="77">
        <v>44627.0</v>
      </c>
      <c r="D76" s="76" t="s">
        <v>414</v>
      </c>
      <c r="E76" s="76" t="s">
        <v>100</v>
      </c>
      <c r="F76" s="76" t="s">
        <v>101</v>
      </c>
      <c r="G76" s="76" t="s">
        <v>90</v>
      </c>
      <c r="H76" s="76" t="s">
        <v>111</v>
      </c>
      <c r="I76" s="76" t="s">
        <v>14</v>
      </c>
      <c r="J76" s="76" t="s">
        <v>92</v>
      </c>
      <c r="K76" s="76" t="s">
        <v>292</v>
      </c>
      <c r="L76" s="76"/>
      <c r="M76" s="76" t="s">
        <v>94</v>
      </c>
      <c r="N76" s="76" t="s">
        <v>114</v>
      </c>
      <c r="O76" s="78">
        <v>45303.0</v>
      </c>
      <c r="P76" s="76" t="s">
        <v>168</v>
      </c>
      <c r="Q76" s="76" t="s">
        <v>23</v>
      </c>
      <c r="R76" s="76" t="s">
        <v>61</v>
      </c>
      <c r="S76" s="79" t="str">
        <f>IFERROR(VLOOKUP(H76, Level_Map!A:B, 2, FALSE), "")</f>
        <v>L3</v>
      </c>
      <c r="T76" s="76" t="str">
        <f>IFERROR(VLOOKUP(I76, Function_BU_Map!A:B, 2, FALSE), "")</f>
        <v>Tech</v>
      </c>
      <c r="U76" s="76" t="str">
        <f t="shared" si="1"/>
        <v>Exited</v>
      </c>
      <c r="V76" s="76" t="str">
        <f t="shared" si="2"/>
        <v>Q1 2022</v>
      </c>
      <c r="W76" s="76" t="str">
        <f t="shared" si="4"/>
        <v>Q1 2024</v>
      </c>
      <c r="X76" s="76">
        <f t="shared" si="3"/>
        <v>2022</v>
      </c>
      <c r="Y76" s="5"/>
      <c r="Z76" s="5"/>
    </row>
    <row r="77" ht="14.25" customHeight="1">
      <c r="A77" s="76" t="s">
        <v>415</v>
      </c>
      <c r="B77" s="76" t="s">
        <v>416</v>
      </c>
      <c r="C77" s="77">
        <v>45383.0</v>
      </c>
      <c r="D77" s="76" t="s">
        <v>417</v>
      </c>
      <c r="E77" s="76" t="s">
        <v>88</v>
      </c>
      <c r="F77" s="76" t="s">
        <v>101</v>
      </c>
      <c r="G77" s="76" t="s">
        <v>102</v>
      </c>
      <c r="H77" s="76" t="s">
        <v>149</v>
      </c>
      <c r="I77" s="76" t="s">
        <v>15</v>
      </c>
      <c r="J77" s="76" t="s">
        <v>136</v>
      </c>
      <c r="K77" s="76" t="s">
        <v>137</v>
      </c>
      <c r="L77" s="76"/>
      <c r="M77" s="76" t="s">
        <v>138</v>
      </c>
      <c r="N77" s="76" t="s">
        <v>139</v>
      </c>
      <c r="O77" s="76"/>
      <c r="P77" s="76" t="s">
        <v>45</v>
      </c>
      <c r="Q77" s="76"/>
      <c r="R77" s="76" t="s">
        <v>61</v>
      </c>
      <c r="S77" s="79" t="str">
        <f>IFERROR(VLOOKUP(H77, Level_Map!A:B, 2, FALSE), "")</f>
        <v>L1</v>
      </c>
      <c r="T77" s="76" t="str">
        <f>IFERROR(VLOOKUP(I77, Function_BU_Map!A:B, 2, FALSE), "")</f>
        <v>Ops</v>
      </c>
      <c r="U77" s="76" t="str">
        <f t="shared" si="1"/>
        <v>Active</v>
      </c>
      <c r="V77" s="76" t="str">
        <f t="shared" si="2"/>
        <v>Q2 2024</v>
      </c>
      <c r="W77" s="76" t="str">
        <f t="shared" si="4"/>
        <v/>
      </c>
      <c r="X77" s="76">
        <f t="shared" si="3"/>
        <v>2024</v>
      </c>
      <c r="Y77" s="5"/>
      <c r="Z77" s="5"/>
    </row>
    <row r="78" ht="14.25" customHeight="1">
      <c r="A78" s="76" t="s">
        <v>418</v>
      </c>
      <c r="B78" s="76" t="s">
        <v>419</v>
      </c>
      <c r="C78" s="77">
        <v>45110.0</v>
      </c>
      <c r="D78" s="76" t="s">
        <v>420</v>
      </c>
      <c r="E78" s="76" t="s">
        <v>88</v>
      </c>
      <c r="F78" s="76" t="s">
        <v>200</v>
      </c>
      <c r="G78" s="76" t="s">
        <v>90</v>
      </c>
      <c r="H78" s="76" t="s">
        <v>164</v>
      </c>
      <c r="I78" s="76" t="s">
        <v>15</v>
      </c>
      <c r="J78" s="76" t="s">
        <v>127</v>
      </c>
      <c r="K78" s="76" t="s">
        <v>260</v>
      </c>
      <c r="L78" s="76"/>
      <c r="M78" s="76" t="s">
        <v>173</v>
      </c>
      <c r="N78" s="76" t="s">
        <v>293</v>
      </c>
      <c r="O78" s="78">
        <v>45207.0</v>
      </c>
      <c r="P78" s="76" t="s">
        <v>57</v>
      </c>
      <c r="Q78" s="76" t="s">
        <v>35</v>
      </c>
      <c r="R78" s="76" t="s">
        <v>58</v>
      </c>
      <c r="S78" s="79" t="str">
        <f>IFERROR(VLOOKUP(H78, Level_Map!A:B, 2, FALSE), "")</f>
        <v>L5</v>
      </c>
      <c r="T78" s="76" t="str">
        <f>IFERROR(VLOOKUP(I78, Function_BU_Map!A:B, 2, FALSE), "")</f>
        <v>Ops</v>
      </c>
      <c r="U78" s="76" t="str">
        <f t="shared" si="1"/>
        <v>Exited</v>
      </c>
      <c r="V78" s="76" t="str">
        <f t="shared" si="2"/>
        <v>Q3 2023</v>
      </c>
      <c r="W78" s="76" t="str">
        <f t="shared" si="4"/>
        <v>Q4 2023</v>
      </c>
      <c r="X78" s="76">
        <f t="shared" si="3"/>
        <v>2023</v>
      </c>
      <c r="Y78" s="5"/>
      <c r="Z78" s="5"/>
    </row>
    <row r="79" ht="14.25" customHeight="1">
      <c r="A79" s="76" t="s">
        <v>421</v>
      </c>
      <c r="B79" s="76" t="s">
        <v>422</v>
      </c>
      <c r="C79" s="77">
        <v>44994.0</v>
      </c>
      <c r="D79" s="76" t="s">
        <v>423</v>
      </c>
      <c r="E79" s="76" t="s">
        <v>88</v>
      </c>
      <c r="F79" s="76" t="s">
        <v>101</v>
      </c>
      <c r="G79" s="76" t="s">
        <v>90</v>
      </c>
      <c r="H79" s="76" t="s">
        <v>118</v>
      </c>
      <c r="I79" s="76" t="s">
        <v>14</v>
      </c>
      <c r="J79" s="76" t="s">
        <v>92</v>
      </c>
      <c r="K79" s="76" t="s">
        <v>355</v>
      </c>
      <c r="L79" s="76"/>
      <c r="M79" s="76" t="s">
        <v>129</v>
      </c>
      <c r="N79" s="76" t="s">
        <v>184</v>
      </c>
      <c r="O79" s="78">
        <v>45604.0</v>
      </c>
      <c r="P79" s="76" t="s">
        <v>249</v>
      </c>
      <c r="Q79" s="76" t="s">
        <v>12</v>
      </c>
      <c r="R79" s="76" t="s">
        <v>61</v>
      </c>
      <c r="S79" s="79" t="str">
        <f>IFERROR(VLOOKUP(H79, Level_Map!A:B, 2, FALSE), "")</f>
        <v>L4</v>
      </c>
      <c r="T79" s="76" t="str">
        <f>IFERROR(VLOOKUP(I79, Function_BU_Map!A:B, 2, FALSE), "")</f>
        <v>Tech</v>
      </c>
      <c r="U79" s="76" t="str">
        <f t="shared" si="1"/>
        <v>Exited</v>
      </c>
      <c r="V79" s="76" t="str">
        <f t="shared" si="2"/>
        <v>Q1 2023</v>
      </c>
      <c r="W79" s="76" t="str">
        <f t="shared" si="4"/>
        <v>Q4 2024</v>
      </c>
      <c r="X79" s="76">
        <f t="shared" si="3"/>
        <v>2023</v>
      </c>
      <c r="Y79" s="5"/>
      <c r="Z79" s="5"/>
    </row>
    <row r="80" ht="14.25" customHeight="1">
      <c r="A80" s="76" t="s">
        <v>424</v>
      </c>
      <c r="B80" s="76" t="s">
        <v>425</v>
      </c>
      <c r="C80" s="77">
        <v>45206.0</v>
      </c>
      <c r="D80" s="76" t="s">
        <v>426</v>
      </c>
      <c r="E80" s="76" t="s">
        <v>88</v>
      </c>
      <c r="F80" s="76" t="s">
        <v>101</v>
      </c>
      <c r="G80" s="76" t="s">
        <v>102</v>
      </c>
      <c r="H80" s="76" t="s">
        <v>164</v>
      </c>
      <c r="I80" s="76" t="s">
        <v>14</v>
      </c>
      <c r="J80" s="76" t="s">
        <v>157</v>
      </c>
      <c r="K80" s="76" t="s">
        <v>355</v>
      </c>
      <c r="L80" s="76"/>
      <c r="M80" s="76" t="s">
        <v>94</v>
      </c>
      <c r="N80" s="76" t="s">
        <v>114</v>
      </c>
      <c r="O80" s="76"/>
      <c r="P80" s="76" t="s">
        <v>35</v>
      </c>
      <c r="Q80" s="76"/>
      <c r="R80" s="76" t="s">
        <v>63</v>
      </c>
      <c r="S80" s="79" t="str">
        <f>IFERROR(VLOOKUP(H80, Level_Map!A:B, 2, FALSE), "")</f>
        <v>L5</v>
      </c>
      <c r="T80" s="76" t="str">
        <f>IFERROR(VLOOKUP(I80, Function_BU_Map!A:B, 2, FALSE), "")</f>
        <v>Tech</v>
      </c>
      <c r="U80" s="76" t="str">
        <f t="shared" si="1"/>
        <v>Active</v>
      </c>
      <c r="V80" s="76" t="str">
        <f t="shared" si="2"/>
        <v>Q4 2023</v>
      </c>
      <c r="W80" s="76" t="str">
        <f t="shared" si="4"/>
        <v/>
      </c>
      <c r="X80" s="76">
        <f t="shared" si="3"/>
        <v>2023</v>
      </c>
      <c r="Y80" s="5"/>
      <c r="Z80" s="5"/>
    </row>
    <row r="81" ht="14.25" customHeight="1">
      <c r="A81" s="76" t="s">
        <v>427</v>
      </c>
      <c r="B81" s="76" t="s">
        <v>428</v>
      </c>
      <c r="C81" s="77">
        <v>44997.0</v>
      </c>
      <c r="D81" s="76" t="s">
        <v>429</v>
      </c>
      <c r="E81" s="76" t="s">
        <v>88</v>
      </c>
      <c r="F81" s="76" t="s">
        <v>101</v>
      </c>
      <c r="G81" s="76" t="s">
        <v>90</v>
      </c>
      <c r="H81" s="76" t="s">
        <v>91</v>
      </c>
      <c r="I81" s="76" t="s">
        <v>17</v>
      </c>
      <c r="J81" s="76" t="s">
        <v>136</v>
      </c>
      <c r="K81" s="76" t="s">
        <v>278</v>
      </c>
      <c r="L81" s="76"/>
      <c r="M81" s="76" t="s">
        <v>430</v>
      </c>
      <c r="N81" s="76" t="s">
        <v>179</v>
      </c>
      <c r="O81" s="78">
        <v>45698.0</v>
      </c>
      <c r="P81" s="76" t="s">
        <v>249</v>
      </c>
      <c r="Q81" s="76" t="s">
        <v>64</v>
      </c>
      <c r="R81" s="76" t="s">
        <v>61</v>
      </c>
      <c r="S81" s="79" t="str">
        <f>IFERROR(VLOOKUP(H81, Level_Map!A:B, 2, FALSE), "")</f>
        <v>L2</v>
      </c>
      <c r="T81" s="76" t="str">
        <f>IFERROR(VLOOKUP(I81, Function_BU_Map!A:B, 2, FALSE), "")</f>
        <v>Growth</v>
      </c>
      <c r="U81" s="76" t="str">
        <f t="shared" si="1"/>
        <v>Exited</v>
      </c>
      <c r="V81" s="76" t="str">
        <f t="shared" si="2"/>
        <v>Q1 2023</v>
      </c>
      <c r="W81" s="76" t="str">
        <f t="shared" si="4"/>
        <v>Q1 2025</v>
      </c>
      <c r="X81" s="76">
        <f t="shared" si="3"/>
        <v>2023</v>
      </c>
      <c r="Y81" s="5"/>
      <c r="Z81" s="5"/>
    </row>
    <row r="82" ht="14.25" customHeight="1">
      <c r="A82" s="76" t="s">
        <v>431</v>
      </c>
      <c r="B82" s="76" t="s">
        <v>432</v>
      </c>
      <c r="C82" s="77">
        <v>45584.0</v>
      </c>
      <c r="D82" s="76" t="s">
        <v>433</v>
      </c>
      <c r="E82" s="76" t="s">
        <v>88</v>
      </c>
      <c r="F82" s="76" t="s">
        <v>101</v>
      </c>
      <c r="G82" s="76" t="s">
        <v>102</v>
      </c>
      <c r="H82" s="76" t="s">
        <v>164</v>
      </c>
      <c r="I82" s="76" t="s">
        <v>14</v>
      </c>
      <c r="J82" s="76" t="s">
        <v>136</v>
      </c>
      <c r="K82" s="76" t="s">
        <v>165</v>
      </c>
      <c r="L82" s="76"/>
      <c r="M82" s="76" t="s">
        <v>430</v>
      </c>
      <c r="N82" s="76" t="s">
        <v>95</v>
      </c>
      <c r="O82" s="76"/>
      <c r="P82" s="76" t="s">
        <v>30</v>
      </c>
      <c r="Q82" s="76"/>
      <c r="R82" s="76" t="s">
        <v>58</v>
      </c>
      <c r="S82" s="79" t="str">
        <f>IFERROR(VLOOKUP(H82, Level_Map!A:B, 2, FALSE), "")</f>
        <v>L5</v>
      </c>
      <c r="T82" s="76" t="str">
        <f>IFERROR(VLOOKUP(I82, Function_BU_Map!A:B, 2, FALSE), "")</f>
        <v>Tech</v>
      </c>
      <c r="U82" s="76" t="str">
        <f t="shared" si="1"/>
        <v>Active</v>
      </c>
      <c r="V82" s="76" t="str">
        <f t="shared" si="2"/>
        <v>Q4 2024</v>
      </c>
      <c r="W82" s="76" t="str">
        <f t="shared" si="4"/>
        <v/>
      </c>
      <c r="X82" s="76">
        <f t="shared" si="3"/>
        <v>2024</v>
      </c>
      <c r="Y82" s="5"/>
      <c r="Z82" s="5"/>
    </row>
    <row r="83" ht="14.25" customHeight="1">
      <c r="A83" s="76" t="s">
        <v>434</v>
      </c>
      <c r="B83" s="76" t="s">
        <v>435</v>
      </c>
      <c r="C83" s="77">
        <v>45372.0</v>
      </c>
      <c r="D83" s="76" t="s">
        <v>436</v>
      </c>
      <c r="E83" s="76" t="s">
        <v>88</v>
      </c>
      <c r="F83" s="76" t="s">
        <v>101</v>
      </c>
      <c r="G83" s="76" t="s">
        <v>102</v>
      </c>
      <c r="H83" s="76" t="s">
        <v>91</v>
      </c>
      <c r="I83" s="76" t="s">
        <v>15</v>
      </c>
      <c r="J83" s="76" t="s">
        <v>136</v>
      </c>
      <c r="K83" s="76" t="s">
        <v>137</v>
      </c>
      <c r="L83" s="76"/>
      <c r="M83" s="76" t="s">
        <v>173</v>
      </c>
      <c r="N83" s="76" t="s">
        <v>144</v>
      </c>
      <c r="O83" s="76"/>
      <c r="P83" s="76" t="s">
        <v>38</v>
      </c>
      <c r="Q83" s="76"/>
      <c r="R83" s="76" t="s">
        <v>61</v>
      </c>
      <c r="S83" s="79" t="str">
        <f>IFERROR(VLOOKUP(H83, Level_Map!A:B, 2, FALSE), "")</f>
        <v>L2</v>
      </c>
      <c r="T83" s="76" t="str">
        <f>IFERROR(VLOOKUP(I83, Function_BU_Map!A:B, 2, FALSE), "")</f>
        <v>Ops</v>
      </c>
      <c r="U83" s="76" t="str">
        <f t="shared" si="1"/>
        <v>Active</v>
      </c>
      <c r="V83" s="76" t="str">
        <f t="shared" si="2"/>
        <v>Q1 2024</v>
      </c>
      <c r="W83" s="76" t="str">
        <f t="shared" si="4"/>
        <v/>
      </c>
      <c r="X83" s="76">
        <f t="shared" si="3"/>
        <v>2024</v>
      </c>
      <c r="Y83" s="5"/>
      <c r="Z83" s="5"/>
    </row>
    <row r="84" ht="14.25" customHeight="1">
      <c r="A84" s="76" t="s">
        <v>437</v>
      </c>
      <c r="B84" s="76" t="s">
        <v>438</v>
      </c>
      <c r="C84" s="77">
        <v>45878.0</v>
      </c>
      <c r="D84" s="76" t="s">
        <v>439</v>
      </c>
      <c r="E84" s="76" t="s">
        <v>88</v>
      </c>
      <c r="F84" s="76" t="s">
        <v>156</v>
      </c>
      <c r="G84" s="76" t="s">
        <v>102</v>
      </c>
      <c r="H84" s="76" t="s">
        <v>91</v>
      </c>
      <c r="I84" s="76" t="s">
        <v>14</v>
      </c>
      <c r="J84" s="76" t="s">
        <v>119</v>
      </c>
      <c r="K84" s="76" t="s">
        <v>292</v>
      </c>
      <c r="L84" s="76"/>
      <c r="M84" s="76" t="s">
        <v>279</v>
      </c>
      <c r="N84" s="76" t="s">
        <v>144</v>
      </c>
      <c r="O84" s="76"/>
      <c r="P84" s="76" t="s">
        <v>96</v>
      </c>
      <c r="Q84" s="76"/>
      <c r="R84" s="76" t="s">
        <v>58</v>
      </c>
      <c r="S84" s="79" t="str">
        <f>IFERROR(VLOOKUP(H84, Level_Map!A:B, 2, FALSE), "")</f>
        <v>L2</v>
      </c>
      <c r="T84" s="76" t="str">
        <f>IFERROR(VLOOKUP(I84, Function_BU_Map!A:B, 2, FALSE), "")</f>
        <v>Tech</v>
      </c>
      <c r="U84" s="76" t="str">
        <f t="shared" si="1"/>
        <v>Active</v>
      </c>
      <c r="V84" s="76" t="str">
        <f t="shared" si="2"/>
        <v>Q3 2025</v>
      </c>
      <c r="W84" s="76" t="str">
        <f t="shared" si="4"/>
        <v/>
      </c>
      <c r="X84" s="76">
        <f t="shared" si="3"/>
        <v>2025</v>
      </c>
      <c r="Y84" s="5"/>
      <c r="Z84" s="5"/>
    </row>
    <row r="85" ht="14.25" customHeight="1">
      <c r="A85" s="76" t="s">
        <v>440</v>
      </c>
      <c r="B85" s="76" t="s">
        <v>441</v>
      </c>
      <c r="C85" s="77">
        <v>45501.0</v>
      </c>
      <c r="D85" s="76" t="s">
        <v>442</v>
      </c>
      <c r="E85" s="76" t="s">
        <v>100</v>
      </c>
      <c r="F85" s="76" t="s">
        <v>101</v>
      </c>
      <c r="G85" s="76" t="s">
        <v>102</v>
      </c>
      <c r="H85" s="76" t="s">
        <v>118</v>
      </c>
      <c r="I85" s="76" t="s">
        <v>14</v>
      </c>
      <c r="J85" s="76" t="s">
        <v>193</v>
      </c>
      <c r="K85" s="76" t="s">
        <v>165</v>
      </c>
      <c r="L85" s="76"/>
      <c r="M85" s="76" t="s">
        <v>236</v>
      </c>
      <c r="N85" s="76" t="s">
        <v>195</v>
      </c>
      <c r="O85" s="76"/>
      <c r="P85" s="76" t="s">
        <v>34</v>
      </c>
      <c r="Q85" s="76"/>
      <c r="R85" s="76" t="s">
        <v>61</v>
      </c>
      <c r="S85" s="79" t="str">
        <f>IFERROR(VLOOKUP(H85, Level_Map!A:B, 2, FALSE), "")</f>
        <v>L4</v>
      </c>
      <c r="T85" s="76" t="str">
        <f>IFERROR(VLOOKUP(I85, Function_BU_Map!A:B, 2, FALSE), "")</f>
        <v>Tech</v>
      </c>
      <c r="U85" s="76" t="str">
        <f t="shared" si="1"/>
        <v>Active</v>
      </c>
      <c r="V85" s="76" t="str">
        <f t="shared" si="2"/>
        <v>Q3 2024</v>
      </c>
      <c r="W85" s="76" t="str">
        <f t="shared" si="4"/>
        <v/>
      </c>
      <c r="X85" s="76">
        <f t="shared" si="3"/>
        <v>2024</v>
      </c>
      <c r="Y85" s="5"/>
      <c r="Z85" s="5"/>
    </row>
    <row r="86" ht="14.25" customHeight="1">
      <c r="A86" s="76" t="s">
        <v>443</v>
      </c>
      <c r="B86" s="76" t="s">
        <v>444</v>
      </c>
      <c r="C86" s="77">
        <v>44854.0</v>
      </c>
      <c r="D86" s="76" t="s">
        <v>445</v>
      </c>
      <c r="E86" s="76" t="s">
        <v>88</v>
      </c>
      <c r="F86" s="76" t="s">
        <v>101</v>
      </c>
      <c r="G86" s="76" t="s">
        <v>102</v>
      </c>
      <c r="H86" s="76" t="s">
        <v>91</v>
      </c>
      <c r="I86" s="76" t="s">
        <v>16</v>
      </c>
      <c r="J86" s="76" t="s">
        <v>127</v>
      </c>
      <c r="K86" s="76" t="s">
        <v>112</v>
      </c>
      <c r="L86" s="76"/>
      <c r="M86" s="76" t="s">
        <v>105</v>
      </c>
      <c r="N86" s="76" t="s">
        <v>167</v>
      </c>
      <c r="O86" s="76"/>
      <c r="P86" s="76" t="s">
        <v>131</v>
      </c>
      <c r="Q86" s="76"/>
      <c r="R86" s="76" t="s">
        <v>63</v>
      </c>
      <c r="S86" s="79" t="str">
        <f>IFERROR(VLOOKUP(H86, Level_Map!A:B, 2, FALSE), "")</f>
        <v>L2</v>
      </c>
      <c r="T86" s="76" t="str">
        <f>IFERROR(VLOOKUP(I86, Function_BU_Map!A:B, 2, FALSE), "")</f>
        <v>Tech</v>
      </c>
      <c r="U86" s="76" t="str">
        <f t="shared" si="1"/>
        <v>Active</v>
      </c>
      <c r="V86" s="76" t="str">
        <f t="shared" si="2"/>
        <v>Q4 2022</v>
      </c>
      <c r="W86" s="76" t="str">
        <f t="shared" si="4"/>
        <v/>
      </c>
      <c r="X86" s="76">
        <f t="shared" si="3"/>
        <v>2022</v>
      </c>
      <c r="Y86" s="5"/>
      <c r="Z86" s="5"/>
    </row>
    <row r="87" ht="14.25" customHeight="1">
      <c r="A87" s="76" t="s">
        <v>446</v>
      </c>
      <c r="B87" s="76" t="s">
        <v>447</v>
      </c>
      <c r="C87" s="77">
        <v>45104.0</v>
      </c>
      <c r="D87" s="76" t="s">
        <v>448</v>
      </c>
      <c r="E87" s="76" t="s">
        <v>100</v>
      </c>
      <c r="F87" s="76" t="s">
        <v>101</v>
      </c>
      <c r="G87" s="76" t="s">
        <v>90</v>
      </c>
      <c r="H87" s="76" t="s">
        <v>230</v>
      </c>
      <c r="I87" s="76" t="s">
        <v>14</v>
      </c>
      <c r="J87" s="76" t="s">
        <v>119</v>
      </c>
      <c r="K87" s="76" t="s">
        <v>292</v>
      </c>
      <c r="L87" s="76"/>
      <c r="M87" s="76" t="s">
        <v>395</v>
      </c>
      <c r="N87" s="76" t="s">
        <v>179</v>
      </c>
      <c r="O87" s="78">
        <v>45276.0</v>
      </c>
      <c r="P87" s="76" t="s">
        <v>50</v>
      </c>
      <c r="Q87" s="76" t="s">
        <v>65</v>
      </c>
      <c r="R87" s="76" t="s">
        <v>58</v>
      </c>
      <c r="S87" s="79" t="str">
        <f>IFERROR(VLOOKUP(H87, Level_Map!A:B, 2, FALSE), "")</f>
        <v>L6</v>
      </c>
      <c r="T87" s="76" t="str">
        <f>IFERROR(VLOOKUP(I87, Function_BU_Map!A:B, 2, FALSE), "")</f>
        <v>Tech</v>
      </c>
      <c r="U87" s="76" t="str">
        <f t="shared" si="1"/>
        <v>Exited</v>
      </c>
      <c r="V87" s="76" t="str">
        <f t="shared" si="2"/>
        <v>Q2 2023</v>
      </c>
      <c r="W87" s="76" t="str">
        <f t="shared" si="4"/>
        <v>Q4 2023</v>
      </c>
      <c r="X87" s="76">
        <f t="shared" si="3"/>
        <v>2023</v>
      </c>
      <c r="Y87" s="5"/>
      <c r="Z87" s="5"/>
    </row>
    <row r="88" ht="14.25" customHeight="1">
      <c r="A88" s="76" t="s">
        <v>449</v>
      </c>
      <c r="B88" s="76" t="s">
        <v>450</v>
      </c>
      <c r="C88" s="77">
        <v>45067.0</v>
      </c>
      <c r="D88" s="76" t="s">
        <v>451</v>
      </c>
      <c r="E88" s="76" t="s">
        <v>88</v>
      </c>
      <c r="F88" s="76" t="s">
        <v>101</v>
      </c>
      <c r="G88" s="76" t="s">
        <v>102</v>
      </c>
      <c r="H88" s="76" t="s">
        <v>111</v>
      </c>
      <c r="I88" s="76" t="s">
        <v>21</v>
      </c>
      <c r="J88" s="76" t="s">
        <v>193</v>
      </c>
      <c r="K88" s="76" t="s">
        <v>223</v>
      </c>
      <c r="L88" s="76"/>
      <c r="M88" s="76" t="s">
        <v>279</v>
      </c>
      <c r="N88" s="76" t="s">
        <v>342</v>
      </c>
      <c r="O88" s="76"/>
      <c r="P88" s="76" t="s">
        <v>123</v>
      </c>
      <c r="Q88" s="76"/>
      <c r="R88" s="76" t="s">
        <v>63</v>
      </c>
      <c r="S88" s="79" t="str">
        <f>IFERROR(VLOOKUP(H88, Level_Map!A:B, 2, FALSE), "")</f>
        <v>L3</v>
      </c>
      <c r="T88" s="76" t="str">
        <f>IFERROR(VLOOKUP(I88, Function_BU_Map!A:B, 2, FALSE), "")</f>
        <v>Corp</v>
      </c>
      <c r="U88" s="76" t="str">
        <f t="shared" si="1"/>
        <v>Active</v>
      </c>
      <c r="V88" s="76" t="str">
        <f t="shared" si="2"/>
        <v>Q2 2023</v>
      </c>
      <c r="W88" s="76" t="str">
        <f t="shared" si="4"/>
        <v/>
      </c>
      <c r="X88" s="76">
        <f t="shared" si="3"/>
        <v>2023</v>
      </c>
      <c r="Y88" s="5"/>
      <c r="Z88" s="5"/>
    </row>
    <row r="89" ht="14.25" customHeight="1">
      <c r="A89" s="76" t="s">
        <v>452</v>
      </c>
      <c r="B89" s="76" t="s">
        <v>453</v>
      </c>
      <c r="C89" s="77">
        <v>45711.0</v>
      </c>
      <c r="D89" s="76" t="s">
        <v>454</v>
      </c>
      <c r="E89" s="76" t="s">
        <v>100</v>
      </c>
      <c r="F89" s="76" t="s">
        <v>101</v>
      </c>
      <c r="G89" s="76" t="s">
        <v>102</v>
      </c>
      <c r="H89" s="76" t="s">
        <v>135</v>
      </c>
      <c r="I89" s="76" t="s">
        <v>14</v>
      </c>
      <c r="J89" s="76" t="s">
        <v>193</v>
      </c>
      <c r="K89" s="76" t="s">
        <v>165</v>
      </c>
      <c r="L89" s="76"/>
      <c r="M89" s="76" t="s">
        <v>138</v>
      </c>
      <c r="N89" s="76" t="s">
        <v>225</v>
      </c>
      <c r="O89" s="76"/>
      <c r="P89" s="76" t="s">
        <v>64</v>
      </c>
      <c r="Q89" s="76"/>
      <c r="R89" s="76" t="s">
        <v>58</v>
      </c>
      <c r="S89" s="79" t="str">
        <f>IFERROR(VLOOKUP(H89, Level_Map!A:B, 2, FALSE), "")</f>
        <v>L7</v>
      </c>
      <c r="T89" s="76" t="str">
        <f>IFERROR(VLOOKUP(I89, Function_BU_Map!A:B, 2, FALSE), "")</f>
        <v>Tech</v>
      </c>
      <c r="U89" s="76" t="str">
        <f t="shared" si="1"/>
        <v>Active</v>
      </c>
      <c r="V89" s="76" t="str">
        <f t="shared" si="2"/>
        <v>Q1 2025</v>
      </c>
      <c r="W89" s="76" t="str">
        <f t="shared" si="4"/>
        <v/>
      </c>
      <c r="X89" s="76">
        <f t="shared" si="3"/>
        <v>2025</v>
      </c>
      <c r="Y89" s="5"/>
      <c r="Z89" s="5"/>
    </row>
    <row r="90" ht="14.25" customHeight="1">
      <c r="A90" s="76" t="s">
        <v>455</v>
      </c>
      <c r="B90" s="76" t="s">
        <v>456</v>
      </c>
      <c r="C90" s="77">
        <v>45665.0</v>
      </c>
      <c r="D90" s="76" t="s">
        <v>457</v>
      </c>
      <c r="E90" s="76" t="s">
        <v>100</v>
      </c>
      <c r="F90" s="76" t="s">
        <v>101</v>
      </c>
      <c r="G90" s="76" t="s">
        <v>90</v>
      </c>
      <c r="H90" s="76" t="s">
        <v>118</v>
      </c>
      <c r="I90" s="76" t="s">
        <v>19</v>
      </c>
      <c r="J90" s="76" t="s">
        <v>119</v>
      </c>
      <c r="K90" s="76" t="s">
        <v>231</v>
      </c>
      <c r="L90" s="76"/>
      <c r="M90" s="76" t="s">
        <v>270</v>
      </c>
      <c r="N90" s="76" t="s">
        <v>212</v>
      </c>
      <c r="O90" s="78">
        <v>45762.0</v>
      </c>
      <c r="P90" s="76" t="s">
        <v>60</v>
      </c>
      <c r="Q90" s="76" t="s">
        <v>46</v>
      </c>
      <c r="R90" s="76" t="s">
        <v>58</v>
      </c>
      <c r="S90" s="79" t="str">
        <f>IFERROR(VLOOKUP(H90, Level_Map!A:B, 2, FALSE), "")</f>
        <v>L4</v>
      </c>
      <c r="T90" s="76" t="str">
        <f>IFERROR(VLOOKUP(I90, Function_BU_Map!A:B, 2, FALSE), "")</f>
        <v>Tech</v>
      </c>
      <c r="U90" s="76" t="str">
        <f t="shared" si="1"/>
        <v>Exited</v>
      </c>
      <c r="V90" s="76" t="str">
        <f t="shared" si="2"/>
        <v>Q1 2025</v>
      </c>
      <c r="W90" s="76" t="str">
        <f t="shared" si="4"/>
        <v>Q2 2025</v>
      </c>
      <c r="X90" s="76">
        <f t="shared" si="3"/>
        <v>2025</v>
      </c>
      <c r="Y90" s="5"/>
      <c r="Z90" s="5"/>
    </row>
    <row r="91" ht="14.25" customHeight="1">
      <c r="A91" s="76" t="s">
        <v>458</v>
      </c>
      <c r="B91" s="76" t="s">
        <v>459</v>
      </c>
      <c r="C91" s="77">
        <v>45759.0</v>
      </c>
      <c r="D91" s="76" t="s">
        <v>460</v>
      </c>
      <c r="E91" s="76" t="s">
        <v>100</v>
      </c>
      <c r="F91" s="76" t="s">
        <v>101</v>
      </c>
      <c r="G91" s="76" t="s">
        <v>102</v>
      </c>
      <c r="H91" s="76" t="s">
        <v>111</v>
      </c>
      <c r="I91" s="76" t="s">
        <v>15</v>
      </c>
      <c r="J91" s="76" t="s">
        <v>119</v>
      </c>
      <c r="K91" s="76" t="s">
        <v>137</v>
      </c>
      <c r="L91" s="76"/>
      <c r="M91" s="76" t="s">
        <v>105</v>
      </c>
      <c r="N91" s="76" t="s">
        <v>293</v>
      </c>
      <c r="O91" s="76"/>
      <c r="P91" s="76" t="s">
        <v>46</v>
      </c>
      <c r="Q91" s="76"/>
      <c r="R91" s="76" t="s">
        <v>58</v>
      </c>
      <c r="S91" s="79" t="str">
        <f>IFERROR(VLOOKUP(H91, Level_Map!A:B, 2, FALSE), "")</f>
        <v>L3</v>
      </c>
      <c r="T91" s="76" t="str">
        <f>IFERROR(VLOOKUP(I91, Function_BU_Map!A:B, 2, FALSE), "")</f>
        <v>Ops</v>
      </c>
      <c r="U91" s="76" t="str">
        <f t="shared" si="1"/>
        <v>Active</v>
      </c>
      <c r="V91" s="76" t="str">
        <f t="shared" si="2"/>
        <v>Q2 2025</v>
      </c>
      <c r="W91" s="76" t="str">
        <f t="shared" si="4"/>
        <v/>
      </c>
      <c r="X91" s="76">
        <f t="shared" si="3"/>
        <v>2025</v>
      </c>
      <c r="Y91" s="5"/>
      <c r="Z91" s="5"/>
    </row>
    <row r="92" ht="14.25" customHeight="1">
      <c r="A92" s="76" t="s">
        <v>461</v>
      </c>
      <c r="B92" s="76" t="s">
        <v>462</v>
      </c>
      <c r="C92" s="77">
        <v>45439.0</v>
      </c>
      <c r="D92" s="76" t="s">
        <v>463</v>
      </c>
      <c r="E92" s="76" t="s">
        <v>88</v>
      </c>
      <c r="F92" s="76" t="s">
        <v>101</v>
      </c>
      <c r="G92" s="76" t="s">
        <v>90</v>
      </c>
      <c r="H92" s="76" t="s">
        <v>164</v>
      </c>
      <c r="I92" s="76" t="s">
        <v>15</v>
      </c>
      <c r="J92" s="76" t="s">
        <v>92</v>
      </c>
      <c r="K92" s="76" t="s">
        <v>143</v>
      </c>
      <c r="L92" s="76"/>
      <c r="M92" s="76" t="s">
        <v>173</v>
      </c>
      <c r="N92" s="76" t="s">
        <v>160</v>
      </c>
      <c r="O92" s="78">
        <v>45928.0</v>
      </c>
      <c r="P92" s="76" t="s">
        <v>26</v>
      </c>
      <c r="Q92" s="76" t="s">
        <v>11</v>
      </c>
      <c r="R92" s="76" t="s">
        <v>61</v>
      </c>
      <c r="S92" s="79" t="str">
        <f>IFERROR(VLOOKUP(H92, Level_Map!A:B, 2, FALSE), "")</f>
        <v>L5</v>
      </c>
      <c r="T92" s="76" t="str">
        <f>IFERROR(VLOOKUP(I92, Function_BU_Map!A:B, 2, FALSE), "")</f>
        <v>Ops</v>
      </c>
      <c r="U92" s="76" t="str">
        <f t="shared" si="1"/>
        <v>Exited</v>
      </c>
      <c r="V92" s="76" t="str">
        <f t="shared" si="2"/>
        <v>Q2 2024</v>
      </c>
      <c r="W92" s="76" t="str">
        <f t="shared" si="4"/>
        <v>Q3 2025</v>
      </c>
      <c r="X92" s="76">
        <f t="shared" si="3"/>
        <v>2024</v>
      </c>
      <c r="Y92" s="5"/>
      <c r="Z92" s="5"/>
    </row>
    <row r="93" ht="14.25" customHeight="1">
      <c r="A93" s="76" t="s">
        <v>464</v>
      </c>
      <c r="B93" s="76" t="s">
        <v>465</v>
      </c>
      <c r="C93" s="77">
        <v>45757.0</v>
      </c>
      <c r="D93" s="76" t="s">
        <v>466</v>
      </c>
      <c r="E93" s="76" t="s">
        <v>100</v>
      </c>
      <c r="F93" s="76" t="s">
        <v>101</v>
      </c>
      <c r="G93" s="76" t="s">
        <v>102</v>
      </c>
      <c r="H93" s="76" t="s">
        <v>111</v>
      </c>
      <c r="I93" s="76" t="s">
        <v>15</v>
      </c>
      <c r="J93" s="76" t="s">
        <v>136</v>
      </c>
      <c r="K93" s="76" t="s">
        <v>137</v>
      </c>
      <c r="L93" s="76"/>
      <c r="M93" s="76" t="s">
        <v>194</v>
      </c>
      <c r="N93" s="76" t="s">
        <v>293</v>
      </c>
      <c r="O93" s="76"/>
      <c r="P93" s="76" t="s">
        <v>46</v>
      </c>
      <c r="Q93" s="76"/>
      <c r="R93" s="76" t="s">
        <v>58</v>
      </c>
      <c r="S93" s="79" t="str">
        <f>IFERROR(VLOOKUP(H93, Level_Map!A:B, 2, FALSE), "")</f>
        <v>L3</v>
      </c>
      <c r="T93" s="76" t="str">
        <f>IFERROR(VLOOKUP(I93, Function_BU_Map!A:B, 2, FALSE), "")</f>
        <v>Ops</v>
      </c>
      <c r="U93" s="76" t="str">
        <f t="shared" si="1"/>
        <v>Active</v>
      </c>
      <c r="V93" s="76" t="str">
        <f t="shared" si="2"/>
        <v>Q2 2025</v>
      </c>
      <c r="W93" s="76" t="str">
        <f t="shared" si="4"/>
        <v/>
      </c>
      <c r="X93" s="76">
        <f t="shared" si="3"/>
        <v>2025</v>
      </c>
      <c r="Y93" s="5"/>
      <c r="Z93" s="5"/>
    </row>
    <row r="94" ht="14.25" customHeight="1">
      <c r="A94" s="76" t="s">
        <v>467</v>
      </c>
      <c r="B94" s="76" t="s">
        <v>468</v>
      </c>
      <c r="C94" s="77">
        <v>45379.0</v>
      </c>
      <c r="D94" s="76" t="s">
        <v>469</v>
      </c>
      <c r="E94" s="76" t="s">
        <v>88</v>
      </c>
      <c r="F94" s="76" t="s">
        <v>101</v>
      </c>
      <c r="G94" s="76" t="s">
        <v>102</v>
      </c>
      <c r="H94" s="76" t="s">
        <v>135</v>
      </c>
      <c r="I94" s="76" t="s">
        <v>19</v>
      </c>
      <c r="J94" s="76" t="s">
        <v>136</v>
      </c>
      <c r="K94" s="76" t="s">
        <v>231</v>
      </c>
      <c r="L94" s="76"/>
      <c r="M94" s="76" t="s">
        <v>138</v>
      </c>
      <c r="N94" s="76" t="s">
        <v>95</v>
      </c>
      <c r="O94" s="76"/>
      <c r="P94" s="76" t="s">
        <v>38</v>
      </c>
      <c r="Q94" s="76"/>
      <c r="R94" s="76" t="s">
        <v>61</v>
      </c>
      <c r="S94" s="79" t="str">
        <f>IFERROR(VLOOKUP(H94, Level_Map!A:B, 2, FALSE), "")</f>
        <v>L7</v>
      </c>
      <c r="T94" s="76" t="str">
        <f>IFERROR(VLOOKUP(I94, Function_BU_Map!A:B, 2, FALSE), "")</f>
        <v>Tech</v>
      </c>
      <c r="U94" s="76" t="str">
        <f t="shared" si="1"/>
        <v>Active</v>
      </c>
      <c r="V94" s="76" t="str">
        <f t="shared" si="2"/>
        <v>Q1 2024</v>
      </c>
      <c r="W94" s="76" t="str">
        <f t="shared" si="4"/>
        <v/>
      </c>
      <c r="X94" s="76">
        <f t="shared" si="3"/>
        <v>2024</v>
      </c>
      <c r="Y94" s="5"/>
      <c r="Z94" s="5"/>
    </row>
    <row r="95" ht="14.25" customHeight="1">
      <c r="A95" s="76" t="s">
        <v>470</v>
      </c>
      <c r="B95" s="76" t="s">
        <v>471</v>
      </c>
      <c r="C95" s="77">
        <v>45303.0</v>
      </c>
      <c r="D95" s="76" t="s">
        <v>472</v>
      </c>
      <c r="E95" s="76" t="s">
        <v>100</v>
      </c>
      <c r="F95" s="76" t="s">
        <v>101</v>
      </c>
      <c r="G95" s="76" t="s">
        <v>102</v>
      </c>
      <c r="H95" s="76" t="s">
        <v>230</v>
      </c>
      <c r="I95" s="76" t="s">
        <v>14</v>
      </c>
      <c r="J95" s="76" t="s">
        <v>92</v>
      </c>
      <c r="K95" s="76" t="s">
        <v>355</v>
      </c>
      <c r="L95" s="76"/>
      <c r="M95" s="76" t="s">
        <v>279</v>
      </c>
      <c r="N95" s="76" t="s">
        <v>152</v>
      </c>
      <c r="O95" s="76"/>
      <c r="P95" s="76" t="s">
        <v>23</v>
      </c>
      <c r="Q95" s="76"/>
      <c r="R95" s="76" t="s">
        <v>61</v>
      </c>
      <c r="S95" s="79" t="str">
        <f>IFERROR(VLOOKUP(H95, Level_Map!A:B, 2, FALSE), "")</f>
        <v>L6</v>
      </c>
      <c r="T95" s="76" t="str">
        <f>IFERROR(VLOOKUP(I95, Function_BU_Map!A:B, 2, FALSE), "")</f>
        <v>Tech</v>
      </c>
      <c r="U95" s="76" t="str">
        <f t="shared" si="1"/>
        <v>Active</v>
      </c>
      <c r="V95" s="76" t="str">
        <f t="shared" si="2"/>
        <v>Q1 2024</v>
      </c>
      <c r="W95" s="76" t="str">
        <f t="shared" si="4"/>
        <v/>
      </c>
      <c r="X95" s="76">
        <f t="shared" si="3"/>
        <v>2024</v>
      </c>
      <c r="Y95" s="5"/>
      <c r="Z95" s="5"/>
    </row>
    <row r="96" ht="14.25" customHeight="1">
      <c r="A96" s="76" t="s">
        <v>473</v>
      </c>
      <c r="B96" s="76" t="s">
        <v>474</v>
      </c>
      <c r="C96" s="77">
        <v>45011.0</v>
      </c>
      <c r="D96" s="76" t="s">
        <v>475</v>
      </c>
      <c r="E96" s="76" t="s">
        <v>100</v>
      </c>
      <c r="F96" s="76" t="s">
        <v>101</v>
      </c>
      <c r="G96" s="76" t="s">
        <v>102</v>
      </c>
      <c r="H96" s="76" t="s">
        <v>164</v>
      </c>
      <c r="I96" s="76" t="s">
        <v>15</v>
      </c>
      <c r="J96" s="76" t="s">
        <v>136</v>
      </c>
      <c r="K96" s="76" t="s">
        <v>143</v>
      </c>
      <c r="L96" s="76"/>
      <c r="M96" s="76" t="s">
        <v>270</v>
      </c>
      <c r="N96" s="76" t="s">
        <v>212</v>
      </c>
      <c r="O96" s="76"/>
      <c r="P96" s="76" t="s">
        <v>249</v>
      </c>
      <c r="Q96" s="76"/>
      <c r="R96" s="76" t="s">
        <v>63</v>
      </c>
      <c r="S96" s="79" t="str">
        <f>IFERROR(VLOOKUP(H96, Level_Map!A:B, 2, FALSE), "")</f>
        <v>L5</v>
      </c>
      <c r="T96" s="76" t="str">
        <f>IFERROR(VLOOKUP(I96, Function_BU_Map!A:B, 2, FALSE), "")</f>
        <v>Ops</v>
      </c>
      <c r="U96" s="76" t="str">
        <f t="shared" si="1"/>
        <v>Active</v>
      </c>
      <c r="V96" s="76" t="str">
        <f t="shared" si="2"/>
        <v>Q1 2023</v>
      </c>
      <c r="W96" s="76" t="str">
        <f t="shared" si="4"/>
        <v/>
      </c>
      <c r="X96" s="76">
        <f t="shared" si="3"/>
        <v>2023</v>
      </c>
      <c r="Y96" s="5"/>
      <c r="Z96" s="5"/>
    </row>
    <row r="97" ht="14.25" customHeight="1">
      <c r="A97" s="76" t="s">
        <v>476</v>
      </c>
      <c r="B97" s="76" t="s">
        <v>477</v>
      </c>
      <c r="C97" s="77">
        <v>44845.0</v>
      </c>
      <c r="D97" s="76" t="s">
        <v>478</v>
      </c>
      <c r="E97" s="76" t="s">
        <v>88</v>
      </c>
      <c r="F97" s="76" t="s">
        <v>200</v>
      </c>
      <c r="G97" s="76" t="s">
        <v>102</v>
      </c>
      <c r="H97" s="76" t="s">
        <v>135</v>
      </c>
      <c r="I97" s="76" t="s">
        <v>16</v>
      </c>
      <c r="J97" s="76" t="s">
        <v>92</v>
      </c>
      <c r="K97" s="76" t="s">
        <v>112</v>
      </c>
      <c r="L97" s="76"/>
      <c r="M97" s="76" t="s">
        <v>121</v>
      </c>
      <c r="N97" s="76" t="s">
        <v>391</v>
      </c>
      <c r="O97" s="76"/>
      <c r="P97" s="76" t="s">
        <v>131</v>
      </c>
      <c r="Q97" s="76"/>
      <c r="R97" s="76" t="s">
        <v>63</v>
      </c>
      <c r="S97" s="79" t="str">
        <f>IFERROR(VLOOKUP(H97, Level_Map!A:B, 2, FALSE), "")</f>
        <v>L7</v>
      </c>
      <c r="T97" s="76" t="str">
        <f>IFERROR(VLOOKUP(I97, Function_BU_Map!A:B, 2, FALSE), "")</f>
        <v>Tech</v>
      </c>
      <c r="U97" s="76" t="str">
        <f t="shared" si="1"/>
        <v>Active</v>
      </c>
      <c r="V97" s="76" t="str">
        <f t="shared" si="2"/>
        <v>Q4 2022</v>
      </c>
      <c r="W97" s="76" t="str">
        <f t="shared" si="4"/>
        <v/>
      </c>
      <c r="X97" s="76">
        <f t="shared" si="3"/>
        <v>2022</v>
      </c>
      <c r="Y97" s="5"/>
      <c r="Z97" s="5"/>
    </row>
    <row r="98" ht="14.25" customHeight="1">
      <c r="A98" s="76" t="s">
        <v>479</v>
      </c>
      <c r="B98" s="76" t="s">
        <v>480</v>
      </c>
      <c r="C98" s="77">
        <v>45605.0</v>
      </c>
      <c r="D98" s="76" t="s">
        <v>481</v>
      </c>
      <c r="E98" s="76" t="s">
        <v>100</v>
      </c>
      <c r="F98" s="76" t="s">
        <v>101</v>
      </c>
      <c r="G98" s="76" t="s">
        <v>102</v>
      </c>
      <c r="H98" s="76" t="s">
        <v>118</v>
      </c>
      <c r="I98" s="76" t="s">
        <v>16</v>
      </c>
      <c r="J98" s="76" t="s">
        <v>92</v>
      </c>
      <c r="K98" s="76" t="s">
        <v>201</v>
      </c>
      <c r="L98" s="76"/>
      <c r="M98" s="76" t="s">
        <v>279</v>
      </c>
      <c r="N98" s="76" t="s">
        <v>391</v>
      </c>
      <c r="O98" s="76"/>
      <c r="P98" s="76" t="s">
        <v>12</v>
      </c>
      <c r="Q98" s="76"/>
      <c r="R98" s="76" t="s">
        <v>58</v>
      </c>
      <c r="S98" s="79" t="str">
        <f>IFERROR(VLOOKUP(H98, Level_Map!A:B, 2, FALSE), "")</f>
        <v>L4</v>
      </c>
      <c r="T98" s="76" t="str">
        <f>IFERROR(VLOOKUP(I98, Function_BU_Map!A:B, 2, FALSE), "")</f>
        <v>Tech</v>
      </c>
      <c r="U98" s="76" t="str">
        <f t="shared" si="1"/>
        <v>Active</v>
      </c>
      <c r="V98" s="76" t="str">
        <f t="shared" si="2"/>
        <v>Q4 2024</v>
      </c>
      <c r="W98" s="76" t="str">
        <f t="shared" si="4"/>
        <v/>
      </c>
      <c r="X98" s="76">
        <f t="shared" si="3"/>
        <v>2024</v>
      </c>
      <c r="Y98" s="5"/>
      <c r="Z98" s="5"/>
    </row>
    <row r="99" ht="14.25" customHeight="1">
      <c r="A99" s="76" t="s">
        <v>482</v>
      </c>
      <c r="B99" s="76" t="s">
        <v>483</v>
      </c>
      <c r="C99" s="77">
        <v>45572.0</v>
      </c>
      <c r="D99" s="76" t="s">
        <v>484</v>
      </c>
      <c r="E99" s="76" t="s">
        <v>100</v>
      </c>
      <c r="F99" s="76" t="s">
        <v>101</v>
      </c>
      <c r="G99" s="76" t="s">
        <v>102</v>
      </c>
      <c r="H99" s="76" t="s">
        <v>91</v>
      </c>
      <c r="I99" s="76" t="s">
        <v>17</v>
      </c>
      <c r="J99" s="76" t="s">
        <v>193</v>
      </c>
      <c r="K99" s="76" t="s">
        <v>278</v>
      </c>
      <c r="L99" s="76"/>
      <c r="M99" s="76" t="s">
        <v>173</v>
      </c>
      <c r="N99" s="76" t="s">
        <v>144</v>
      </c>
      <c r="O99" s="76"/>
      <c r="P99" s="76" t="s">
        <v>30</v>
      </c>
      <c r="Q99" s="76"/>
      <c r="R99" s="76" t="s">
        <v>61</v>
      </c>
      <c r="S99" s="79" t="str">
        <f>IFERROR(VLOOKUP(H99, Level_Map!A:B, 2, FALSE), "")</f>
        <v>L2</v>
      </c>
      <c r="T99" s="76" t="str">
        <f>IFERROR(VLOOKUP(I99, Function_BU_Map!A:B, 2, FALSE), "")</f>
        <v>Growth</v>
      </c>
      <c r="U99" s="76" t="str">
        <f t="shared" si="1"/>
        <v>Active</v>
      </c>
      <c r="V99" s="76" t="str">
        <f t="shared" si="2"/>
        <v>Q4 2024</v>
      </c>
      <c r="W99" s="76" t="str">
        <f t="shared" si="4"/>
        <v/>
      </c>
      <c r="X99" s="76">
        <f t="shared" si="3"/>
        <v>2024</v>
      </c>
      <c r="Y99" s="5"/>
      <c r="Z99" s="5"/>
    </row>
    <row r="100" ht="14.25" customHeight="1">
      <c r="A100" s="76" t="s">
        <v>485</v>
      </c>
      <c r="B100" s="76" t="s">
        <v>486</v>
      </c>
      <c r="C100" s="77">
        <v>44748.0</v>
      </c>
      <c r="D100" s="76" t="s">
        <v>487</v>
      </c>
      <c r="E100" s="76" t="s">
        <v>88</v>
      </c>
      <c r="F100" s="76" t="s">
        <v>156</v>
      </c>
      <c r="G100" s="76" t="s">
        <v>102</v>
      </c>
      <c r="H100" s="76" t="s">
        <v>149</v>
      </c>
      <c r="I100" s="76" t="s">
        <v>14</v>
      </c>
      <c r="J100" s="76" t="s">
        <v>92</v>
      </c>
      <c r="K100" s="76" t="s">
        <v>208</v>
      </c>
      <c r="L100" s="76"/>
      <c r="M100" s="76" t="s">
        <v>138</v>
      </c>
      <c r="N100" s="76" t="s">
        <v>167</v>
      </c>
      <c r="O100" s="76"/>
      <c r="P100" s="76" t="s">
        <v>175</v>
      </c>
      <c r="Q100" s="76"/>
      <c r="R100" s="76" t="s">
        <v>63</v>
      </c>
      <c r="S100" s="79" t="str">
        <f>IFERROR(VLOOKUP(H100, Level_Map!A:B, 2, FALSE), "")</f>
        <v>L1</v>
      </c>
      <c r="T100" s="76" t="str">
        <f>IFERROR(VLOOKUP(I100, Function_BU_Map!A:B, 2, FALSE), "")</f>
        <v>Tech</v>
      </c>
      <c r="U100" s="76" t="str">
        <f t="shared" si="1"/>
        <v>Active</v>
      </c>
      <c r="V100" s="76" t="str">
        <f t="shared" si="2"/>
        <v>Q3 2022</v>
      </c>
      <c r="W100" s="76" t="str">
        <f t="shared" si="4"/>
        <v/>
      </c>
      <c r="X100" s="76">
        <f t="shared" si="3"/>
        <v>2022</v>
      </c>
      <c r="Y100" s="5"/>
      <c r="Z100" s="5"/>
    </row>
    <row r="101" ht="14.25" customHeight="1">
      <c r="A101" s="76" t="s">
        <v>488</v>
      </c>
      <c r="B101" s="76" t="s">
        <v>489</v>
      </c>
      <c r="C101" s="77">
        <v>44658.0</v>
      </c>
      <c r="D101" s="76" t="s">
        <v>490</v>
      </c>
      <c r="E101" s="76" t="s">
        <v>88</v>
      </c>
      <c r="F101" s="76" t="s">
        <v>101</v>
      </c>
      <c r="G101" s="76" t="s">
        <v>102</v>
      </c>
      <c r="H101" s="76" t="s">
        <v>164</v>
      </c>
      <c r="I101" s="76" t="s">
        <v>17</v>
      </c>
      <c r="J101" s="76" t="s">
        <v>136</v>
      </c>
      <c r="K101" s="76" t="s">
        <v>297</v>
      </c>
      <c r="L101" s="76"/>
      <c r="M101" s="76" t="s">
        <v>94</v>
      </c>
      <c r="N101" s="76" t="s">
        <v>167</v>
      </c>
      <c r="O101" s="76"/>
      <c r="P101" s="76" t="s">
        <v>320</v>
      </c>
      <c r="Q101" s="76"/>
      <c r="R101" s="76" t="s">
        <v>63</v>
      </c>
      <c r="S101" s="79" t="str">
        <f>IFERROR(VLOOKUP(H101, Level_Map!A:B, 2, FALSE), "")</f>
        <v>L5</v>
      </c>
      <c r="T101" s="76" t="str">
        <f>IFERROR(VLOOKUP(I101, Function_BU_Map!A:B, 2, FALSE), "")</f>
        <v>Growth</v>
      </c>
      <c r="U101" s="76" t="str">
        <f t="shared" si="1"/>
        <v>Active</v>
      </c>
      <c r="V101" s="76" t="str">
        <f t="shared" si="2"/>
        <v>Q2 2022</v>
      </c>
      <c r="W101" s="76" t="str">
        <f t="shared" si="4"/>
        <v/>
      </c>
      <c r="X101" s="76">
        <f t="shared" si="3"/>
        <v>2022</v>
      </c>
      <c r="Y101" s="5"/>
      <c r="Z101" s="5"/>
    </row>
    <row r="102" ht="14.25" customHeight="1">
      <c r="A102" s="76" t="s">
        <v>491</v>
      </c>
      <c r="B102" s="76" t="s">
        <v>492</v>
      </c>
      <c r="C102" s="77">
        <v>44786.0</v>
      </c>
      <c r="D102" s="76" t="s">
        <v>493</v>
      </c>
      <c r="E102" s="76" t="s">
        <v>100</v>
      </c>
      <c r="F102" s="76" t="s">
        <v>89</v>
      </c>
      <c r="G102" s="76" t="s">
        <v>90</v>
      </c>
      <c r="H102" s="76" t="s">
        <v>135</v>
      </c>
      <c r="I102" s="76" t="s">
        <v>16</v>
      </c>
      <c r="J102" s="76" t="s">
        <v>127</v>
      </c>
      <c r="K102" s="76" t="s">
        <v>112</v>
      </c>
      <c r="L102" s="76"/>
      <c r="M102" s="76" t="s">
        <v>189</v>
      </c>
      <c r="N102" s="76" t="s">
        <v>303</v>
      </c>
      <c r="O102" s="78">
        <v>45129.0</v>
      </c>
      <c r="P102" s="76" t="s">
        <v>494</v>
      </c>
      <c r="Q102" s="76" t="s">
        <v>57</v>
      </c>
      <c r="R102" s="76" t="s">
        <v>58</v>
      </c>
      <c r="S102" s="79" t="str">
        <f>IFERROR(VLOOKUP(H102, Level_Map!A:B, 2, FALSE), "")</f>
        <v>L7</v>
      </c>
      <c r="T102" s="76" t="str">
        <f>IFERROR(VLOOKUP(I102, Function_BU_Map!A:B, 2, FALSE), "")</f>
        <v>Tech</v>
      </c>
      <c r="U102" s="76" t="str">
        <f t="shared" si="1"/>
        <v>Exited</v>
      </c>
      <c r="V102" s="76" t="str">
        <f t="shared" si="2"/>
        <v>Q3 2022</v>
      </c>
      <c r="W102" s="76" t="str">
        <f t="shared" si="4"/>
        <v>Q3 2023</v>
      </c>
      <c r="X102" s="76">
        <f t="shared" si="3"/>
        <v>2022</v>
      </c>
      <c r="Y102" s="5"/>
      <c r="Z102" s="5"/>
    </row>
    <row r="103" ht="14.25" customHeight="1">
      <c r="A103" s="76" t="s">
        <v>495</v>
      </c>
      <c r="B103" s="76" t="s">
        <v>496</v>
      </c>
      <c r="C103" s="77">
        <v>45847.0</v>
      </c>
      <c r="D103" s="76" t="s">
        <v>497</v>
      </c>
      <c r="E103" s="76" t="s">
        <v>88</v>
      </c>
      <c r="F103" s="76" t="s">
        <v>101</v>
      </c>
      <c r="G103" s="76" t="s">
        <v>102</v>
      </c>
      <c r="H103" s="76" t="s">
        <v>135</v>
      </c>
      <c r="I103" s="76" t="s">
        <v>14</v>
      </c>
      <c r="J103" s="76" t="s">
        <v>136</v>
      </c>
      <c r="K103" s="76" t="s">
        <v>208</v>
      </c>
      <c r="L103" s="76"/>
      <c r="M103" s="76" t="s">
        <v>279</v>
      </c>
      <c r="N103" s="76" t="s">
        <v>167</v>
      </c>
      <c r="O103" s="76"/>
      <c r="P103" s="76" t="s">
        <v>55</v>
      </c>
      <c r="Q103" s="76"/>
      <c r="R103" s="76" t="s">
        <v>58</v>
      </c>
      <c r="S103" s="79" t="str">
        <f>IFERROR(VLOOKUP(H103, Level_Map!A:B, 2, FALSE), "")</f>
        <v>L7</v>
      </c>
      <c r="T103" s="76" t="str">
        <f>IFERROR(VLOOKUP(I103, Function_BU_Map!A:B, 2, FALSE), "")</f>
        <v>Tech</v>
      </c>
      <c r="U103" s="76" t="str">
        <f t="shared" si="1"/>
        <v>Active</v>
      </c>
      <c r="V103" s="76" t="str">
        <f t="shared" si="2"/>
        <v>Q3 2025</v>
      </c>
      <c r="W103" s="76" t="str">
        <f t="shared" si="4"/>
        <v/>
      </c>
      <c r="X103" s="76">
        <f t="shared" si="3"/>
        <v>2025</v>
      </c>
      <c r="Y103" s="5"/>
      <c r="Z103" s="5"/>
    </row>
    <row r="104" ht="14.25" customHeight="1">
      <c r="A104" s="76" t="s">
        <v>498</v>
      </c>
      <c r="B104" s="76" t="s">
        <v>499</v>
      </c>
      <c r="C104" s="77">
        <v>44889.0</v>
      </c>
      <c r="D104" s="76" t="s">
        <v>500</v>
      </c>
      <c r="E104" s="76" t="s">
        <v>100</v>
      </c>
      <c r="F104" s="76" t="s">
        <v>101</v>
      </c>
      <c r="G104" s="76" t="s">
        <v>90</v>
      </c>
      <c r="H104" s="76" t="s">
        <v>149</v>
      </c>
      <c r="I104" s="76" t="s">
        <v>14</v>
      </c>
      <c r="J104" s="76" t="s">
        <v>127</v>
      </c>
      <c r="K104" s="76" t="s">
        <v>208</v>
      </c>
      <c r="L104" s="76"/>
      <c r="M104" s="76" t="s">
        <v>430</v>
      </c>
      <c r="N104" s="76" t="s">
        <v>303</v>
      </c>
      <c r="O104" s="78">
        <v>45783.0</v>
      </c>
      <c r="P104" s="76" t="s">
        <v>245</v>
      </c>
      <c r="Q104" s="76" t="s">
        <v>41</v>
      </c>
      <c r="R104" s="76" t="s">
        <v>63</v>
      </c>
      <c r="S104" s="79" t="str">
        <f>IFERROR(VLOOKUP(H104, Level_Map!A:B, 2, FALSE), "")</f>
        <v>L1</v>
      </c>
      <c r="T104" s="76" t="str">
        <f>IFERROR(VLOOKUP(I104, Function_BU_Map!A:B, 2, FALSE), "")</f>
        <v>Tech</v>
      </c>
      <c r="U104" s="76" t="str">
        <f t="shared" si="1"/>
        <v>Exited</v>
      </c>
      <c r="V104" s="76" t="str">
        <f t="shared" si="2"/>
        <v>Q4 2022</v>
      </c>
      <c r="W104" s="76" t="str">
        <f t="shared" si="4"/>
        <v>Q2 2025</v>
      </c>
      <c r="X104" s="76">
        <f t="shared" si="3"/>
        <v>2022</v>
      </c>
      <c r="Y104" s="5"/>
      <c r="Z104" s="5"/>
    </row>
    <row r="105" ht="14.25" customHeight="1">
      <c r="A105" s="76" t="s">
        <v>501</v>
      </c>
      <c r="B105" s="76" t="s">
        <v>502</v>
      </c>
      <c r="C105" s="77">
        <v>45783.0</v>
      </c>
      <c r="D105" s="76" t="s">
        <v>503</v>
      </c>
      <c r="E105" s="76" t="s">
        <v>100</v>
      </c>
      <c r="F105" s="76" t="s">
        <v>200</v>
      </c>
      <c r="G105" s="76" t="s">
        <v>90</v>
      </c>
      <c r="H105" s="76" t="s">
        <v>91</v>
      </c>
      <c r="I105" s="76" t="s">
        <v>14</v>
      </c>
      <c r="J105" s="76" t="s">
        <v>92</v>
      </c>
      <c r="K105" s="76" t="s">
        <v>355</v>
      </c>
      <c r="L105" s="76"/>
      <c r="M105" s="76" t="s">
        <v>166</v>
      </c>
      <c r="N105" s="76" t="s">
        <v>271</v>
      </c>
      <c r="O105" s="78">
        <v>45829.0</v>
      </c>
      <c r="P105" s="76" t="s">
        <v>41</v>
      </c>
      <c r="Q105" s="76" t="s">
        <v>24</v>
      </c>
      <c r="R105" s="76" t="s">
        <v>58</v>
      </c>
      <c r="S105" s="79" t="str">
        <f>IFERROR(VLOOKUP(H105, Level_Map!A:B, 2, FALSE), "")</f>
        <v>L2</v>
      </c>
      <c r="T105" s="76" t="str">
        <f>IFERROR(VLOOKUP(I105, Function_BU_Map!A:B, 2, FALSE), "")</f>
        <v>Tech</v>
      </c>
      <c r="U105" s="76" t="str">
        <f t="shared" si="1"/>
        <v>Exited</v>
      </c>
      <c r="V105" s="76" t="str">
        <f t="shared" si="2"/>
        <v>Q2 2025</v>
      </c>
      <c r="W105" s="76" t="str">
        <f t="shared" si="4"/>
        <v>Q2 2025</v>
      </c>
      <c r="X105" s="76">
        <f t="shared" si="3"/>
        <v>2025</v>
      </c>
      <c r="Y105" s="5"/>
      <c r="Z105" s="5"/>
    </row>
    <row r="106" ht="14.25" customHeight="1">
      <c r="A106" s="76" t="s">
        <v>504</v>
      </c>
      <c r="B106" s="76" t="s">
        <v>505</v>
      </c>
      <c r="C106" s="77">
        <v>45350.0</v>
      </c>
      <c r="D106" s="76" t="s">
        <v>506</v>
      </c>
      <c r="E106" s="76" t="s">
        <v>88</v>
      </c>
      <c r="F106" s="76" t="s">
        <v>101</v>
      </c>
      <c r="G106" s="76" t="s">
        <v>102</v>
      </c>
      <c r="H106" s="76" t="s">
        <v>111</v>
      </c>
      <c r="I106" s="76" t="s">
        <v>16</v>
      </c>
      <c r="J106" s="76" t="s">
        <v>92</v>
      </c>
      <c r="K106" s="76" t="s">
        <v>158</v>
      </c>
      <c r="L106" s="76"/>
      <c r="M106" s="76" t="s">
        <v>395</v>
      </c>
      <c r="N106" s="76" t="s">
        <v>174</v>
      </c>
      <c r="O106" s="76"/>
      <c r="P106" s="76" t="s">
        <v>10</v>
      </c>
      <c r="Q106" s="76"/>
      <c r="R106" s="76" t="s">
        <v>61</v>
      </c>
      <c r="S106" s="79" t="str">
        <f>IFERROR(VLOOKUP(H106, Level_Map!A:B, 2, FALSE), "")</f>
        <v>L3</v>
      </c>
      <c r="T106" s="76" t="str">
        <f>IFERROR(VLOOKUP(I106, Function_BU_Map!A:B, 2, FALSE), "")</f>
        <v>Tech</v>
      </c>
      <c r="U106" s="76" t="str">
        <f t="shared" si="1"/>
        <v>Active</v>
      </c>
      <c r="V106" s="76" t="str">
        <f t="shared" si="2"/>
        <v>Q1 2024</v>
      </c>
      <c r="W106" s="76" t="str">
        <f t="shared" si="4"/>
        <v/>
      </c>
      <c r="X106" s="76">
        <f t="shared" si="3"/>
        <v>2024</v>
      </c>
      <c r="Y106" s="5"/>
      <c r="Z106" s="5"/>
    </row>
    <row r="107" ht="14.25" customHeight="1">
      <c r="A107" s="76" t="s">
        <v>507</v>
      </c>
      <c r="B107" s="76" t="s">
        <v>508</v>
      </c>
      <c r="C107" s="77">
        <v>45343.0</v>
      </c>
      <c r="D107" s="76" t="s">
        <v>509</v>
      </c>
      <c r="E107" s="76" t="s">
        <v>88</v>
      </c>
      <c r="F107" s="76" t="s">
        <v>101</v>
      </c>
      <c r="G107" s="76" t="s">
        <v>102</v>
      </c>
      <c r="H107" s="76" t="s">
        <v>118</v>
      </c>
      <c r="I107" s="76" t="s">
        <v>18</v>
      </c>
      <c r="J107" s="76" t="s">
        <v>127</v>
      </c>
      <c r="K107" s="76" t="s">
        <v>150</v>
      </c>
      <c r="L107" s="76"/>
      <c r="M107" s="76" t="s">
        <v>94</v>
      </c>
      <c r="N107" s="76" t="s">
        <v>195</v>
      </c>
      <c r="O107" s="76"/>
      <c r="P107" s="76" t="s">
        <v>10</v>
      </c>
      <c r="Q107" s="76"/>
      <c r="R107" s="76" t="s">
        <v>61</v>
      </c>
      <c r="S107" s="79" t="str">
        <f>IFERROR(VLOOKUP(H107, Level_Map!A:B, 2, FALSE), "")</f>
        <v>L4</v>
      </c>
      <c r="T107" s="76" t="str">
        <f>IFERROR(VLOOKUP(I107, Function_BU_Map!A:B, 2, FALSE), "")</f>
        <v>Corp</v>
      </c>
      <c r="U107" s="76" t="str">
        <f t="shared" si="1"/>
        <v>Active</v>
      </c>
      <c r="V107" s="76" t="str">
        <f t="shared" si="2"/>
        <v>Q1 2024</v>
      </c>
      <c r="W107" s="76" t="str">
        <f t="shared" si="4"/>
        <v/>
      </c>
      <c r="X107" s="76">
        <f t="shared" si="3"/>
        <v>2024</v>
      </c>
      <c r="Y107" s="5"/>
      <c r="Z107" s="5"/>
    </row>
    <row r="108" ht="14.25" customHeight="1">
      <c r="A108" s="76" t="s">
        <v>510</v>
      </c>
      <c r="B108" s="76" t="s">
        <v>511</v>
      </c>
      <c r="C108" s="77">
        <v>45782.0</v>
      </c>
      <c r="D108" s="76" t="s">
        <v>512</v>
      </c>
      <c r="E108" s="76" t="s">
        <v>100</v>
      </c>
      <c r="F108" s="76" t="s">
        <v>101</v>
      </c>
      <c r="G108" s="76" t="s">
        <v>102</v>
      </c>
      <c r="H108" s="76" t="s">
        <v>135</v>
      </c>
      <c r="I108" s="76" t="s">
        <v>15</v>
      </c>
      <c r="J108" s="76" t="s">
        <v>92</v>
      </c>
      <c r="K108" s="76" t="s">
        <v>143</v>
      </c>
      <c r="L108" s="76"/>
      <c r="M108" s="76" t="s">
        <v>94</v>
      </c>
      <c r="N108" s="76" t="s">
        <v>271</v>
      </c>
      <c r="O108" s="76"/>
      <c r="P108" s="76" t="s">
        <v>41</v>
      </c>
      <c r="Q108" s="76"/>
      <c r="R108" s="76" t="s">
        <v>58</v>
      </c>
      <c r="S108" s="79" t="str">
        <f>IFERROR(VLOOKUP(H108, Level_Map!A:B, 2, FALSE), "")</f>
        <v>L7</v>
      </c>
      <c r="T108" s="76" t="str">
        <f>IFERROR(VLOOKUP(I108, Function_BU_Map!A:B, 2, FALSE), "")</f>
        <v>Ops</v>
      </c>
      <c r="U108" s="76" t="str">
        <f t="shared" si="1"/>
        <v>Active</v>
      </c>
      <c r="V108" s="76" t="str">
        <f t="shared" si="2"/>
        <v>Q2 2025</v>
      </c>
      <c r="W108" s="76" t="str">
        <f t="shared" si="4"/>
        <v/>
      </c>
      <c r="X108" s="76">
        <f t="shared" si="3"/>
        <v>2025</v>
      </c>
      <c r="Y108" s="5"/>
      <c r="Z108" s="5"/>
    </row>
    <row r="109" ht="14.25" customHeight="1">
      <c r="A109" s="76" t="s">
        <v>513</v>
      </c>
      <c r="B109" s="76" t="s">
        <v>514</v>
      </c>
      <c r="C109" s="77">
        <v>45520.0</v>
      </c>
      <c r="D109" s="76" t="s">
        <v>515</v>
      </c>
      <c r="E109" s="76" t="s">
        <v>88</v>
      </c>
      <c r="F109" s="76" t="s">
        <v>101</v>
      </c>
      <c r="G109" s="76" t="s">
        <v>102</v>
      </c>
      <c r="H109" s="76" t="s">
        <v>118</v>
      </c>
      <c r="I109" s="76" t="s">
        <v>15</v>
      </c>
      <c r="J109" s="76" t="s">
        <v>119</v>
      </c>
      <c r="K109" s="76" t="s">
        <v>260</v>
      </c>
      <c r="L109" s="76"/>
      <c r="M109" s="76" t="s">
        <v>138</v>
      </c>
      <c r="N109" s="76" t="s">
        <v>184</v>
      </c>
      <c r="O109" s="76"/>
      <c r="P109" s="76" t="s">
        <v>39</v>
      </c>
      <c r="Q109" s="76"/>
      <c r="R109" s="76" t="s">
        <v>61</v>
      </c>
      <c r="S109" s="79" t="str">
        <f>IFERROR(VLOOKUP(H109, Level_Map!A:B, 2, FALSE), "")</f>
        <v>L4</v>
      </c>
      <c r="T109" s="76" t="str">
        <f>IFERROR(VLOOKUP(I109, Function_BU_Map!A:B, 2, FALSE), "")</f>
        <v>Ops</v>
      </c>
      <c r="U109" s="76" t="str">
        <f t="shared" si="1"/>
        <v>Active</v>
      </c>
      <c r="V109" s="76" t="str">
        <f t="shared" si="2"/>
        <v>Q3 2024</v>
      </c>
      <c r="W109" s="76" t="str">
        <f t="shared" si="4"/>
        <v/>
      </c>
      <c r="X109" s="76">
        <f t="shared" si="3"/>
        <v>2024</v>
      </c>
      <c r="Y109" s="5"/>
      <c r="Z109" s="5"/>
    </row>
    <row r="110" ht="14.25" customHeight="1">
      <c r="A110" s="76" t="s">
        <v>516</v>
      </c>
      <c r="B110" s="76" t="s">
        <v>517</v>
      </c>
      <c r="C110" s="77">
        <v>45645.0</v>
      </c>
      <c r="D110" s="76" t="s">
        <v>518</v>
      </c>
      <c r="E110" s="76" t="s">
        <v>88</v>
      </c>
      <c r="F110" s="76" t="s">
        <v>101</v>
      </c>
      <c r="G110" s="76" t="s">
        <v>102</v>
      </c>
      <c r="H110" s="76" t="s">
        <v>230</v>
      </c>
      <c r="I110" s="76" t="s">
        <v>16</v>
      </c>
      <c r="J110" s="76" t="s">
        <v>136</v>
      </c>
      <c r="K110" s="76" t="s">
        <v>201</v>
      </c>
      <c r="L110" s="76"/>
      <c r="M110" s="76" t="s">
        <v>236</v>
      </c>
      <c r="N110" s="76" t="s">
        <v>152</v>
      </c>
      <c r="O110" s="76"/>
      <c r="P110" s="76" t="s">
        <v>28</v>
      </c>
      <c r="Q110" s="76"/>
      <c r="R110" s="76" t="s">
        <v>58</v>
      </c>
      <c r="S110" s="79" t="str">
        <f>IFERROR(VLOOKUP(H110, Level_Map!A:B, 2, FALSE), "")</f>
        <v>L6</v>
      </c>
      <c r="T110" s="76" t="str">
        <f>IFERROR(VLOOKUP(I110, Function_BU_Map!A:B, 2, FALSE), "")</f>
        <v>Tech</v>
      </c>
      <c r="U110" s="76" t="str">
        <f t="shared" si="1"/>
        <v>Active</v>
      </c>
      <c r="V110" s="76" t="str">
        <f t="shared" si="2"/>
        <v>Q4 2024</v>
      </c>
      <c r="W110" s="76" t="str">
        <f t="shared" si="4"/>
        <v/>
      </c>
      <c r="X110" s="76">
        <f t="shared" si="3"/>
        <v>2024</v>
      </c>
      <c r="Y110" s="5"/>
      <c r="Z110" s="5"/>
    </row>
    <row r="111" ht="14.25" customHeight="1">
      <c r="A111" s="76" t="s">
        <v>519</v>
      </c>
      <c r="B111" s="76" t="s">
        <v>520</v>
      </c>
      <c r="C111" s="77">
        <v>45076.0</v>
      </c>
      <c r="D111" s="76" t="s">
        <v>521</v>
      </c>
      <c r="E111" s="76" t="s">
        <v>88</v>
      </c>
      <c r="F111" s="76" t="s">
        <v>156</v>
      </c>
      <c r="G111" s="76" t="s">
        <v>102</v>
      </c>
      <c r="H111" s="76" t="s">
        <v>164</v>
      </c>
      <c r="I111" s="76" t="s">
        <v>15</v>
      </c>
      <c r="J111" s="76" t="s">
        <v>193</v>
      </c>
      <c r="K111" s="76" t="s">
        <v>260</v>
      </c>
      <c r="L111" s="76"/>
      <c r="M111" s="76" t="s">
        <v>236</v>
      </c>
      <c r="N111" s="76" t="s">
        <v>293</v>
      </c>
      <c r="O111" s="76"/>
      <c r="P111" s="76" t="s">
        <v>123</v>
      </c>
      <c r="Q111" s="76"/>
      <c r="R111" s="76" t="s">
        <v>63</v>
      </c>
      <c r="S111" s="79" t="str">
        <f>IFERROR(VLOOKUP(H111, Level_Map!A:B, 2, FALSE), "")</f>
        <v>L5</v>
      </c>
      <c r="T111" s="76" t="str">
        <f>IFERROR(VLOOKUP(I111, Function_BU_Map!A:B, 2, FALSE), "")</f>
        <v>Ops</v>
      </c>
      <c r="U111" s="76" t="str">
        <f t="shared" si="1"/>
        <v>Active</v>
      </c>
      <c r="V111" s="76" t="str">
        <f t="shared" si="2"/>
        <v>Q2 2023</v>
      </c>
      <c r="W111" s="76" t="str">
        <f t="shared" si="4"/>
        <v/>
      </c>
      <c r="X111" s="76">
        <f t="shared" si="3"/>
        <v>2023</v>
      </c>
      <c r="Y111" s="5"/>
      <c r="Z111" s="5"/>
    </row>
    <row r="112" ht="14.25" customHeight="1">
      <c r="A112" s="76" t="s">
        <v>522</v>
      </c>
      <c r="B112" s="76" t="s">
        <v>523</v>
      </c>
      <c r="C112" s="77">
        <v>45695.0</v>
      </c>
      <c r="D112" s="76" t="s">
        <v>524</v>
      </c>
      <c r="E112" s="76" t="s">
        <v>88</v>
      </c>
      <c r="F112" s="76" t="s">
        <v>101</v>
      </c>
      <c r="G112" s="76" t="s">
        <v>102</v>
      </c>
      <c r="H112" s="76" t="s">
        <v>149</v>
      </c>
      <c r="I112" s="76" t="s">
        <v>14</v>
      </c>
      <c r="J112" s="76" t="s">
        <v>92</v>
      </c>
      <c r="K112" s="76" t="s">
        <v>208</v>
      </c>
      <c r="L112" s="76"/>
      <c r="M112" s="76" t="s">
        <v>113</v>
      </c>
      <c r="N112" s="76" t="s">
        <v>144</v>
      </c>
      <c r="O112" s="76"/>
      <c r="P112" s="76" t="s">
        <v>64</v>
      </c>
      <c r="Q112" s="76"/>
      <c r="R112" s="76" t="s">
        <v>58</v>
      </c>
      <c r="S112" s="79" t="str">
        <f>IFERROR(VLOOKUP(H112, Level_Map!A:B, 2, FALSE), "")</f>
        <v>L1</v>
      </c>
      <c r="T112" s="76" t="str">
        <f>IFERROR(VLOOKUP(I112, Function_BU_Map!A:B, 2, FALSE), "")</f>
        <v>Tech</v>
      </c>
      <c r="U112" s="76" t="str">
        <f t="shared" si="1"/>
        <v>Active</v>
      </c>
      <c r="V112" s="76" t="str">
        <f t="shared" si="2"/>
        <v>Q1 2025</v>
      </c>
      <c r="W112" s="76" t="str">
        <f t="shared" si="4"/>
        <v/>
      </c>
      <c r="X112" s="76">
        <f t="shared" si="3"/>
        <v>2025</v>
      </c>
      <c r="Y112" s="5"/>
      <c r="Z112" s="5"/>
    </row>
    <row r="113" ht="14.25" customHeight="1">
      <c r="A113" s="76" t="s">
        <v>525</v>
      </c>
      <c r="B113" s="76" t="s">
        <v>526</v>
      </c>
      <c r="C113" s="77">
        <v>44585.0</v>
      </c>
      <c r="D113" s="76" t="s">
        <v>527</v>
      </c>
      <c r="E113" s="76" t="s">
        <v>100</v>
      </c>
      <c r="F113" s="76" t="s">
        <v>101</v>
      </c>
      <c r="G113" s="76" t="s">
        <v>102</v>
      </c>
      <c r="H113" s="76" t="s">
        <v>230</v>
      </c>
      <c r="I113" s="76" t="s">
        <v>17</v>
      </c>
      <c r="J113" s="76" t="s">
        <v>119</v>
      </c>
      <c r="K113" s="76" t="s">
        <v>297</v>
      </c>
      <c r="L113" s="76"/>
      <c r="M113" s="76" t="s">
        <v>138</v>
      </c>
      <c r="N113" s="76" t="s">
        <v>212</v>
      </c>
      <c r="O113" s="76"/>
      <c r="P113" s="76" t="s">
        <v>226</v>
      </c>
      <c r="Q113" s="76"/>
      <c r="R113" s="76" t="s">
        <v>63</v>
      </c>
      <c r="S113" s="79" t="str">
        <f>IFERROR(VLOOKUP(H113, Level_Map!A:B, 2, FALSE), "")</f>
        <v>L6</v>
      </c>
      <c r="T113" s="76" t="str">
        <f>IFERROR(VLOOKUP(I113, Function_BU_Map!A:B, 2, FALSE), "")</f>
        <v>Growth</v>
      </c>
      <c r="U113" s="76" t="str">
        <f t="shared" si="1"/>
        <v>Active</v>
      </c>
      <c r="V113" s="76" t="str">
        <f t="shared" si="2"/>
        <v>Q1 2022</v>
      </c>
      <c r="W113" s="76" t="str">
        <f t="shared" si="4"/>
        <v/>
      </c>
      <c r="X113" s="76">
        <f t="shared" si="3"/>
        <v>2022</v>
      </c>
      <c r="Y113" s="5"/>
      <c r="Z113" s="5"/>
    </row>
    <row r="114" ht="14.25" customHeight="1">
      <c r="A114" s="76" t="s">
        <v>528</v>
      </c>
      <c r="B114" s="76" t="s">
        <v>529</v>
      </c>
      <c r="C114" s="77">
        <v>44796.0</v>
      </c>
      <c r="D114" s="76" t="s">
        <v>530</v>
      </c>
      <c r="E114" s="76" t="s">
        <v>88</v>
      </c>
      <c r="F114" s="76" t="s">
        <v>101</v>
      </c>
      <c r="G114" s="76" t="s">
        <v>102</v>
      </c>
      <c r="H114" s="76" t="s">
        <v>118</v>
      </c>
      <c r="I114" s="76" t="s">
        <v>14</v>
      </c>
      <c r="J114" s="76" t="s">
        <v>92</v>
      </c>
      <c r="K114" s="76" t="s">
        <v>165</v>
      </c>
      <c r="L114" s="76"/>
      <c r="M114" s="76" t="s">
        <v>173</v>
      </c>
      <c r="N114" s="76" t="s">
        <v>174</v>
      </c>
      <c r="O114" s="76"/>
      <c r="P114" s="76" t="s">
        <v>494</v>
      </c>
      <c r="Q114" s="76"/>
      <c r="R114" s="76" t="s">
        <v>63</v>
      </c>
      <c r="S114" s="79" t="str">
        <f>IFERROR(VLOOKUP(H114, Level_Map!A:B, 2, FALSE), "")</f>
        <v>L4</v>
      </c>
      <c r="T114" s="76" t="str">
        <f>IFERROR(VLOOKUP(I114, Function_BU_Map!A:B, 2, FALSE), "")</f>
        <v>Tech</v>
      </c>
      <c r="U114" s="76" t="str">
        <f t="shared" si="1"/>
        <v>Active</v>
      </c>
      <c r="V114" s="76" t="str">
        <f t="shared" si="2"/>
        <v>Q3 2022</v>
      </c>
      <c r="W114" s="76" t="str">
        <f t="shared" si="4"/>
        <v/>
      </c>
      <c r="X114" s="76">
        <f t="shared" si="3"/>
        <v>2022</v>
      </c>
      <c r="Y114" s="5"/>
      <c r="Z114" s="5"/>
    </row>
    <row r="115" ht="14.25" customHeight="1">
      <c r="A115" s="76" t="s">
        <v>531</v>
      </c>
      <c r="B115" s="76" t="s">
        <v>532</v>
      </c>
      <c r="C115" s="77">
        <v>45661.0</v>
      </c>
      <c r="D115" s="76" t="s">
        <v>533</v>
      </c>
      <c r="E115" s="76" t="s">
        <v>100</v>
      </c>
      <c r="F115" s="76" t="s">
        <v>101</v>
      </c>
      <c r="G115" s="76" t="s">
        <v>102</v>
      </c>
      <c r="H115" s="76" t="s">
        <v>164</v>
      </c>
      <c r="I115" s="76" t="s">
        <v>21</v>
      </c>
      <c r="J115" s="76" t="s">
        <v>193</v>
      </c>
      <c r="K115" s="76" t="s">
        <v>223</v>
      </c>
      <c r="L115" s="76"/>
      <c r="M115" s="76" t="s">
        <v>151</v>
      </c>
      <c r="N115" s="76" t="s">
        <v>139</v>
      </c>
      <c r="O115" s="76"/>
      <c r="P115" s="76" t="s">
        <v>60</v>
      </c>
      <c r="Q115" s="76"/>
      <c r="R115" s="76" t="s">
        <v>58</v>
      </c>
      <c r="S115" s="79" t="str">
        <f>IFERROR(VLOOKUP(H115, Level_Map!A:B, 2, FALSE), "")</f>
        <v>L5</v>
      </c>
      <c r="T115" s="76" t="str">
        <f>IFERROR(VLOOKUP(I115, Function_BU_Map!A:B, 2, FALSE), "")</f>
        <v>Corp</v>
      </c>
      <c r="U115" s="76" t="str">
        <f t="shared" si="1"/>
        <v>Active</v>
      </c>
      <c r="V115" s="76" t="str">
        <f t="shared" si="2"/>
        <v>Q1 2025</v>
      </c>
      <c r="W115" s="76" t="str">
        <f t="shared" si="4"/>
        <v/>
      </c>
      <c r="X115" s="76">
        <f t="shared" si="3"/>
        <v>2025</v>
      </c>
      <c r="Y115" s="5"/>
      <c r="Z115" s="5"/>
    </row>
    <row r="116" ht="14.25" customHeight="1">
      <c r="A116" s="76" t="s">
        <v>534</v>
      </c>
      <c r="B116" s="76" t="s">
        <v>535</v>
      </c>
      <c r="C116" s="77">
        <v>45108.0</v>
      </c>
      <c r="D116" s="76" t="s">
        <v>536</v>
      </c>
      <c r="E116" s="76" t="s">
        <v>100</v>
      </c>
      <c r="F116" s="76" t="s">
        <v>101</v>
      </c>
      <c r="G116" s="76" t="s">
        <v>90</v>
      </c>
      <c r="H116" s="76" t="s">
        <v>149</v>
      </c>
      <c r="I116" s="76" t="s">
        <v>16</v>
      </c>
      <c r="J116" s="76" t="s">
        <v>127</v>
      </c>
      <c r="K116" s="76" t="s">
        <v>201</v>
      </c>
      <c r="L116" s="76"/>
      <c r="M116" s="76" t="s">
        <v>121</v>
      </c>
      <c r="N116" s="76" t="s">
        <v>114</v>
      </c>
      <c r="O116" s="78">
        <v>45925.0</v>
      </c>
      <c r="P116" s="76" t="s">
        <v>57</v>
      </c>
      <c r="Q116" s="76" t="s">
        <v>11</v>
      </c>
      <c r="R116" s="76" t="s">
        <v>63</v>
      </c>
      <c r="S116" s="79" t="str">
        <f>IFERROR(VLOOKUP(H116, Level_Map!A:B, 2, FALSE), "")</f>
        <v>L1</v>
      </c>
      <c r="T116" s="76" t="str">
        <f>IFERROR(VLOOKUP(I116, Function_BU_Map!A:B, 2, FALSE), "")</f>
        <v>Tech</v>
      </c>
      <c r="U116" s="76" t="str">
        <f t="shared" si="1"/>
        <v>Exited</v>
      </c>
      <c r="V116" s="76" t="str">
        <f t="shared" si="2"/>
        <v>Q3 2023</v>
      </c>
      <c r="W116" s="76" t="str">
        <f t="shared" si="4"/>
        <v>Q3 2025</v>
      </c>
      <c r="X116" s="76">
        <f t="shared" si="3"/>
        <v>2023</v>
      </c>
      <c r="Y116" s="5"/>
      <c r="Z116" s="5"/>
    </row>
    <row r="117" ht="14.25" customHeight="1">
      <c r="A117" s="76" t="s">
        <v>537</v>
      </c>
      <c r="B117" s="76" t="s">
        <v>538</v>
      </c>
      <c r="C117" s="77">
        <v>45874.0</v>
      </c>
      <c r="D117" s="76" t="s">
        <v>539</v>
      </c>
      <c r="E117" s="76" t="s">
        <v>88</v>
      </c>
      <c r="F117" s="76" t="s">
        <v>101</v>
      </c>
      <c r="G117" s="76" t="s">
        <v>102</v>
      </c>
      <c r="H117" s="76" t="s">
        <v>230</v>
      </c>
      <c r="I117" s="76" t="s">
        <v>16</v>
      </c>
      <c r="J117" s="76" t="s">
        <v>157</v>
      </c>
      <c r="K117" s="76" t="s">
        <v>112</v>
      </c>
      <c r="L117" s="76"/>
      <c r="M117" s="76" t="s">
        <v>113</v>
      </c>
      <c r="N117" s="76" t="s">
        <v>106</v>
      </c>
      <c r="O117" s="76"/>
      <c r="P117" s="76" t="s">
        <v>96</v>
      </c>
      <c r="Q117" s="76"/>
      <c r="R117" s="76" t="s">
        <v>58</v>
      </c>
      <c r="S117" s="79" t="str">
        <f>IFERROR(VLOOKUP(H117, Level_Map!A:B, 2, FALSE), "")</f>
        <v>L6</v>
      </c>
      <c r="T117" s="76" t="str">
        <f>IFERROR(VLOOKUP(I117, Function_BU_Map!A:B, 2, FALSE), "")</f>
        <v>Tech</v>
      </c>
      <c r="U117" s="76" t="str">
        <f t="shared" si="1"/>
        <v>Active</v>
      </c>
      <c r="V117" s="76" t="str">
        <f t="shared" si="2"/>
        <v>Q3 2025</v>
      </c>
      <c r="W117" s="76" t="str">
        <f t="shared" si="4"/>
        <v/>
      </c>
      <c r="X117" s="76">
        <f t="shared" si="3"/>
        <v>2025</v>
      </c>
      <c r="Y117" s="5"/>
      <c r="Z117" s="5"/>
    </row>
    <row r="118" ht="14.25" customHeight="1">
      <c r="A118" s="76" t="s">
        <v>540</v>
      </c>
      <c r="B118" s="76" t="s">
        <v>541</v>
      </c>
      <c r="C118" s="77">
        <v>45258.0</v>
      </c>
      <c r="D118" s="76" t="s">
        <v>542</v>
      </c>
      <c r="E118" s="76" t="s">
        <v>88</v>
      </c>
      <c r="F118" s="76" t="s">
        <v>101</v>
      </c>
      <c r="G118" s="76" t="s">
        <v>102</v>
      </c>
      <c r="H118" s="76" t="s">
        <v>230</v>
      </c>
      <c r="I118" s="76" t="s">
        <v>17</v>
      </c>
      <c r="J118" s="76" t="s">
        <v>193</v>
      </c>
      <c r="K118" s="76" t="s">
        <v>278</v>
      </c>
      <c r="L118" s="76"/>
      <c r="M118" s="76" t="s">
        <v>194</v>
      </c>
      <c r="N118" s="76" t="s">
        <v>174</v>
      </c>
      <c r="O118" s="76"/>
      <c r="P118" s="76" t="s">
        <v>237</v>
      </c>
      <c r="Q118" s="76"/>
      <c r="R118" s="76" t="s">
        <v>61</v>
      </c>
      <c r="S118" s="79" t="str">
        <f>IFERROR(VLOOKUP(H118, Level_Map!A:B, 2, FALSE), "")</f>
        <v>L6</v>
      </c>
      <c r="T118" s="76" t="str">
        <f>IFERROR(VLOOKUP(I118, Function_BU_Map!A:B, 2, FALSE), "")</f>
        <v>Growth</v>
      </c>
      <c r="U118" s="76" t="str">
        <f t="shared" si="1"/>
        <v>Active</v>
      </c>
      <c r="V118" s="76" t="str">
        <f t="shared" si="2"/>
        <v>Q4 2023</v>
      </c>
      <c r="W118" s="76" t="str">
        <f t="shared" si="4"/>
        <v/>
      </c>
      <c r="X118" s="76">
        <f t="shared" si="3"/>
        <v>2023</v>
      </c>
      <c r="Y118" s="5"/>
      <c r="Z118" s="5"/>
    </row>
    <row r="119" ht="14.25" customHeight="1">
      <c r="A119" s="76" t="s">
        <v>543</v>
      </c>
      <c r="B119" s="76" t="s">
        <v>544</v>
      </c>
      <c r="C119" s="77">
        <v>44790.0</v>
      </c>
      <c r="D119" s="76" t="s">
        <v>545</v>
      </c>
      <c r="E119" s="76" t="s">
        <v>100</v>
      </c>
      <c r="F119" s="76" t="s">
        <v>101</v>
      </c>
      <c r="G119" s="76" t="s">
        <v>102</v>
      </c>
      <c r="H119" s="76" t="s">
        <v>118</v>
      </c>
      <c r="I119" s="76" t="s">
        <v>14</v>
      </c>
      <c r="J119" s="76" t="s">
        <v>193</v>
      </c>
      <c r="K119" s="76" t="s">
        <v>292</v>
      </c>
      <c r="L119" s="76"/>
      <c r="M119" s="76" t="s">
        <v>236</v>
      </c>
      <c r="N119" s="76" t="s">
        <v>293</v>
      </c>
      <c r="O119" s="76"/>
      <c r="P119" s="76" t="s">
        <v>494</v>
      </c>
      <c r="Q119" s="76"/>
      <c r="R119" s="76" t="s">
        <v>63</v>
      </c>
      <c r="S119" s="79" t="str">
        <f>IFERROR(VLOOKUP(H119, Level_Map!A:B, 2, FALSE), "")</f>
        <v>L4</v>
      </c>
      <c r="T119" s="76" t="str">
        <f>IFERROR(VLOOKUP(I119, Function_BU_Map!A:B, 2, FALSE), "")</f>
        <v>Tech</v>
      </c>
      <c r="U119" s="76" t="str">
        <f t="shared" si="1"/>
        <v>Active</v>
      </c>
      <c r="V119" s="76" t="str">
        <f t="shared" si="2"/>
        <v>Q3 2022</v>
      </c>
      <c r="W119" s="76" t="str">
        <f t="shared" si="4"/>
        <v/>
      </c>
      <c r="X119" s="76">
        <f t="shared" si="3"/>
        <v>2022</v>
      </c>
      <c r="Y119" s="5"/>
      <c r="Z119" s="5"/>
    </row>
    <row r="120" ht="14.25" customHeight="1">
      <c r="A120" s="76" t="s">
        <v>546</v>
      </c>
      <c r="B120" s="76" t="s">
        <v>547</v>
      </c>
      <c r="C120" s="77">
        <v>45163.0</v>
      </c>
      <c r="D120" s="76" t="s">
        <v>548</v>
      </c>
      <c r="E120" s="76" t="s">
        <v>88</v>
      </c>
      <c r="F120" s="76" t="s">
        <v>101</v>
      </c>
      <c r="G120" s="76" t="s">
        <v>90</v>
      </c>
      <c r="H120" s="76" t="s">
        <v>91</v>
      </c>
      <c r="I120" s="76" t="s">
        <v>15</v>
      </c>
      <c r="J120" s="76" t="s">
        <v>157</v>
      </c>
      <c r="K120" s="76" t="s">
        <v>260</v>
      </c>
      <c r="L120" s="76"/>
      <c r="M120" s="76" t="s">
        <v>94</v>
      </c>
      <c r="N120" s="76" t="s">
        <v>396</v>
      </c>
      <c r="O120" s="78">
        <v>45638.0</v>
      </c>
      <c r="P120" s="76" t="s">
        <v>298</v>
      </c>
      <c r="Q120" s="76" t="s">
        <v>28</v>
      </c>
      <c r="R120" s="76" t="s">
        <v>61</v>
      </c>
      <c r="S120" s="79" t="str">
        <f>IFERROR(VLOOKUP(H120, Level_Map!A:B, 2, FALSE), "")</f>
        <v>L2</v>
      </c>
      <c r="T120" s="76" t="str">
        <f>IFERROR(VLOOKUP(I120, Function_BU_Map!A:B, 2, FALSE), "")</f>
        <v>Ops</v>
      </c>
      <c r="U120" s="76" t="str">
        <f t="shared" si="1"/>
        <v>Exited</v>
      </c>
      <c r="V120" s="76" t="str">
        <f t="shared" si="2"/>
        <v>Q3 2023</v>
      </c>
      <c r="W120" s="76" t="str">
        <f t="shared" si="4"/>
        <v>Q4 2024</v>
      </c>
      <c r="X120" s="76">
        <f t="shared" si="3"/>
        <v>2023</v>
      </c>
      <c r="Y120" s="5"/>
      <c r="Z120" s="5"/>
    </row>
    <row r="121" ht="14.25" customHeight="1">
      <c r="A121" s="76" t="s">
        <v>549</v>
      </c>
      <c r="B121" s="76" t="s">
        <v>550</v>
      </c>
      <c r="C121" s="77">
        <v>44885.0</v>
      </c>
      <c r="D121" s="76" t="s">
        <v>551</v>
      </c>
      <c r="E121" s="76" t="s">
        <v>241</v>
      </c>
      <c r="F121" s="76" t="s">
        <v>101</v>
      </c>
      <c r="G121" s="76" t="s">
        <v>102</v>
      </c>
      <c r="H121" s="76" t="s">
        <v>149</v>
      </c>
      <c r="I121" s="76" t="s">
        <v>14</v>
      </c>
      <c r="J121" s="76" t="s">
        <v>92</v>
      </c>
      <c r="K121" s="76" t="s">
        <v>165</v>
      </c>
      <c r="L121" s="76"/>
      <c r="M121" s="76" t="s">
        <v>113</v>
      </c>
      <c r="N121" s="76" t="s">
        <v>139</v>
      </c>
      <c r="O121" s="76"/>
      <c r="P121" s="76" t="s">
        <v>245</v>
      </c>
      <c r="Q121" s="76"/>
      <c r="R121" s="76" t="s">
        <v>63</v>
      </c>
      <c r="S121" s="79" t="str">
        <f>IFERROR(VLOOKUP(H121, Level_Map!A:B, 2, FALSE), "")</f>
        <v>L1</v>
      </c>
      <c r="T121" s="76" t="str">
        <f>IFERROR(VLOOKUP(I121, Function_BU_Map!A:B, 2, FALSE), "")</f>
        <v>Tech</v>
      </c>
      <c r="U121" s="76" t="str">
        <f t="shared" si="1"/>
        <v>Active</v>
      </c>
      <c r="V121" s="76" t="str">
        <f t="shared" si="2"/>
        <v>Q4 2022</v>
      </c>
      <c r="W121" s="76" t="str">
        <f t="shared" si="4"/>
        <v/>
      </c>
      <c r="X121" s="76">
        <f t="shared" si="3"/>
        <v>2022</v>
      </c>
      <c r="Y121" s="5"/>
      <c r="Z121" s="5"/>
    </row>
    <row r="122" ht="14.25" customHeight="1">
      <c r="A122" s="80"/>
      <c r="B122" s="80"/>
      <c r="C122" s="81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conditionalFormatting sqref="E1:E1000">
    <cfRule type="cellIs" dxfId="1" priority="1" operator="equal">
      <formula>"Female"</formula>
    </cfRule>
  </conditionalFormatting>
  <conditionalFormatting sqref="E1:E1000">
    <cfRule type="cellIs" dxfId="2" priority="2" operator="equal">
      <formula>"Male"</formula>
    </cfRule>
  </conditionalFormatting>
  <conditionalFormatting sqref="F1:F1000">
    <cfRule type="cellIs" dxfId="3" priority="3" operator="equal">
      <formula>"Permanent"</formula>
    </cfRule>
  </conditionalFormatting>
  <conditionalFormatting sqref="G1:G1000">
    <cfRule type="cellIs" dxfId="4" priority="4" operator="equal">
      <formula>"Relieved"</formula>
    </cfRule>
  </conditionalFormatting>
  <conditionalFormatting sqref="I1:I1000">
    <cfRule type="cellIs" dxfId="5" priority="5" operator="equal">
      <formula>"Finance"</formula>
    </cfRule>
  </conditionalFormatting>
  <conditionalFormatting sqref="I1:I1000">
    <cfRule type="cellIs" dxfId="6" priority="6" operator="equal">
      <formula>"Product"</formula>
    </cfRule>
  </conditionalFormatting>
  <conditionalFormatting sqref="I1:I1000">
    <cfRule type="cellIs" dxfId="7" priority="7" operator="equal">
      <formula>"Risk"</formula>
    </cfRule>
  </conditionalFormatting>
  <conditionalFormatting sqref="I1:I1000">
    <cfRule type="cellIs" dxfId="8" priority="8" operator="equal">
      <formula>"Data"</formula>
    </cfRule>
  </conditionalFormatting>
  <conditionalFormatting sqref="I1:I1000">
    <cfRule type="cellIs" dxfId="9" priority="9" operator="equal">
      <formula>"CX"</formula>
    </cfRule>
  </conditionalFormatting>
  <conditionalFormatting sqref="I1:I1000">
    <cfRule type="cellIs" dxfId="10" priority="10" operator="equal">
      <formula>"HR"</formula>
    </cfRule>
  </conditionalFormatting>
  <conditionalFormatting sqref="I1:I1000">
    <cfRule type="cellIs" dxfId="11" priority="11" operator="equal">
      <formula>"Engineering"</formula>
    </cfRule>
  </conditionalFormatting>
  <conditionalFormatting sqref="T1:T1000">
    <cfRule type="cellIs" dxfId="12" priority="12" operator="equal">
      <formula>"Corp"</formula>
    </cfRule>
  </conditionalFormatting>
  <conditionalFormatting sqref="T1:T1000">
    <cfRule type="cellIs" dxfId="13" priority="13" operator="equal">
      <formula>"Tech"</formula>
    </cfRule>
  </conditionalFormatting>
  <conditionalFormatting sqref="T1:T1000">
    <cfRule type="cellIs" dxfId="14" priority="14" operator="equal">
      <formula>"Risk"</formula>
    </cfRule>
  </conditionalFormatting>
  <conditionalFormatting sqref="T2:T1000">
    <cfRule type="cellIs" dxfId="2" priority="15" operator="equal">
      <formula>"ops"</formula>
    </cfRule>
  </conditionalFormatting>
  <conditionalFormatting sqref="T1:T1000">
    <cfRule type="cellIs" dxfId="15" priority="16" operator="equal">
      <formula>"Growth"</formula>
    </cfRule>
  </conditionalFormatting>
  <conditionalFormatting sqref="U1:U1000">
    <cfRule type="cellIs" dxfId="16" priority="17" operator="equal">
      <formula>"Exited"</formula>
    </cfRule>
  </conditionalFormatting>
  <dataValidations>
    <dataValidation type="custom" allowBlank="1" showDropDown="1" sqref="C2:C121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13.56"/>
    <col customWidth="1" min="3" max="3" width="15.67"/>
    <col customWidth="1" min="4" max="4" width="21.33"/>
    <col customWidth="1" min="5" max="5" width="8.11"/>
    <col customWidth="1" min="6" max="6" width="10.56"/>
    <col customWidth="1" min="7" max="7" width="12.0"/>
    <col customWidth="1" min="8" max="8" width="15.67"/>
    <col customWidth="1" min="9" max="9" width="11.44"/>
    <col customWidth="1" min="10" max="10" width="14.22"/>
    <col customWidth="1" min="11" max="11" width="16.56"/>
    <col customWidth="1" min="12" max="12" width="17.0"/>
    <col customWidth="1" min="13" max="13" width="20.22"/>
    <col customWidth="1" min="14" max="14" width="10.33"/>
    <col customWidth="1" min="15" max="15" width="11.56"/>
    <col customWidth="1" min="16" max="16" width="15.11"/>
    <col customWidth="1" min="17" max="17" width="11.78"/>
    <col customWidth="1" min="18" max="18" width="16.0"/>
    <col customWidth="1" min="19" max="26" width="15.44"/>
  </cols>
  <sheetData>
    <row r="1" ht="14.25" customHeight="1">
      <c r="A1" s="82" t="s">
        <v>66</v>
      </c>
      <c r="B1" s="82" t="s">
        <v>67</v>
      </c>
      <c r="C1" s="82" t="s">
        <v>68</v>
      </c>
      <c r="D1" s="82" t="s">
        <v>69</v>
      </c>
      <c r="E1" s="82" t="s">
        <v>70</v>
      </c>
      <c r="F1" s="82" t="s">
        <v>71</v>
      </c>
      <c r="G1" s="82" t="s">
        <v>72</v>
      </c>
      <c r="H1" s="82" t="s">
        <v>73</v>
      </c>
      <c r="I1" s="82" t="s">
        <v>9</v>
      </c>
      <c r="J1" s="82" t="s">
        <v>74</v>
      </c>
      <c r="K1" s="82" t="s">
        <v>75</v>
      </c>
      <c r="L1" s="82" t="s">
        <v>76</v>
      </c>
      <c r="M1" s="82" t="s">
        <v>77</v>
      </c>
      <c r="N1" s="82" t="s">
        <v>78</v>
      </c>
      <c r="O1" s="82" t="s">
        <v>79</v>
      </c>
      <c r="P1" s="82" t="s">
        <v>6</v>
      </c>
      <c r="Q1" s="82" t="s">
        <v>8</v>
      </c>
      <c r="R1" s="82" t="s">
        <v>56</v>
      </c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85</v>
      </c>
      <c r="B2" s="2" t="s">
        <v>86</v>
      </c>
      <c r="C2" s="83">
        <v>45871.0</v>
      </c>
      <c r="D2" s="2" t="s">
        <v>87</v>
      </c>
      <c r="E2" s="2" t="s">
        <v>88</v>
      </c>
      <c r="F2" s="2" t="s">
        <v>89</v>
      </c>
      <c r="G2" s="2" t="s">
        <v>90</v>
      </c>
      <c r="H2" s="2" t="s">
        <v>91</v>
      </c>
      <c r="I2" s="2" t="s">
        <v>21</v>
      </c>
      <c r="J2" s="2" t="s">
        <v>92</v>
      </c>
      <c r="K2" s="2" t="s">
        <v>93</v>
      </c>
      <c r="L2" s="2"/>
      <c r="M2" s="2" t="s">
        <v>94</v>
      </c>
      <c r="N2" s="2" t="s">
        <v>95</v>
      </c>
      <c r="O2" s="83">
        <v>45908.0</v>
      </c>
      <c r="P2" s="2" t="s">
        <v>96</v>
      </c>
      <c r="Q2" s="2" t="s">
        <v>11</v>
      </c>
      <c r="R2" s="2" t="s">
        <v>58</v>
      </c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97</v>
      </c>
      <c r="B3" s="2" t="s">
        <v>98</v>
      </c>
      <c r="C3" s="83">
        <v>44613.0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21</v>
      </c>
      <c r="J3" s="2" t="s">
        <v>92</v>
      </c>
      <c r="K3" s="2" t="s">
        <v>104</v>
      </c>
      <c r="L3" s="2"/>
      <c r="M3" s="2" t="s">
        <v>105</v>
      </c>
      <c r="N3" s="2" t="s">
        <v>106</v>
      </c>
      <c r="O3" s="2"/>
      <c r="P3" s="2" t="s">
        <v>107</v>
      </c>
      <c r="Q3" s="2"/>
      <c r="R3" s="2" t="s">
        <v>63</v>
      </c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108</v>
      </c>
      <c r="B4" s="2" t="s">
        <v>109</v>
      </c>
      <c r="C4" s="83">
        <v>45125.0</v>
      </c>
      <c r="D4" s="2" t="s">
        <v>110</v>
      </c>
      <c r="E4" s="2" t="s">
        <v>88</v>
      </c>
      <c r="F4" s="2" t="s">
        <v>101</v>
      </c>
      <c r="G4" s="2" t="s">
        <v>102</v>
      </c>
      <c r="H4" s="2" t="s">
        <v>111</v>
      </c>
      <c r="I4" s="2" t="s">
        <v>16</v>
      </c>
      <c r="J4" s="2" t="s">
        <v>92</v>
      </c>
      <c r="K4" s="2" t="s">
        <v>112</v>
      </c>
      <c r="L4" s="2"/>
      <c r="M4" s="2" t="s">
        <v>113</v>
      </c>
      <c r="N4" s="2" t="s">
        <v>114</v>
      </c>
      <c r="O4" s="2"/>
      <c r="P4" s="2" t="s">
        <v>57</v>
      </c>
      <c r="Q4" s="2"/>
      <c r="R4" s="2" t="s">
        <v>63</v>
      </c>
      <c r="S4" s="2"/>
      <c r="T4" s="2"/>
      <c r="U4" s="2"/>
      <c r="V4" s="2"/>
      <c r="W4" s="2"/>
      <c r="X4" s="2"/>
      <c r="Y4" s="2"/>
      <c r="Z4" s="2"/>
    </row>
    <row r="5" ht="14.25" customHeight="1">
      <c r="A5" s="2" t="s">
        <v>115</v>
      </c>
      <c r="B5" s="2" t="s">
        <v>116</v>
      </c>
      <c r="C5" s="83">
        <v>45063.0</v>
      </c>
      <c r="D5" s="2" t="s">
        <v>117</v>
      </c>
      <c r="E5" s="2" t="s">
        <v>88</v>
      </c>
      <c r="F5" s="2" t="s">
        <v>101</v>
      </c>
      <c r="G5" s="2" t="s">
        <v>90</v>
      </c>
      <c r="H5" s="2" t="s">
        <v>118</v>
      </c>
      <c r="I5" s="2" t="s">
        <v>20</v>
      </c>
      <c r="J5" s="2" t="s">
        <v>119</v>
      </c>
      <c r="K5" s="2" t="s">
        <v>120</v>
      </c>
      <c r="L5" s="2"/>
      <c r="M5" s="2" t="s">
        <v>121</v>
      </c>
      <c r="N5" s="2" t="s">
        <v>122</v>
      </c>
      <c r="O5" s="83">
        <v>45321.0</v>
      </c>
      <c r="P5" s="2" t="s">
        <v>123</v>
      </c>
      <c r="Q5" s="2" t="s">
        <v>23</v>
      </c>
      <c r="R5" s="2" t="s">
        <v>58</v>
      </c>
      <c r="S5" s="2"/>
      <c r="T5" s="2"/>
      <c r="U5" s="2"/>
      <c r="V5" s="2"/>
      <c r="W5" s="2"/>
      <c r="X5" s="2"/>
      <c r="Y5" s="2"/>
      <c r="Z5" s="2"/>
    </row>
    <row r="6" ht="14.25" customHeight="1">
      <c r="A6" s="2" t="s">
        <v>124</v>
      </c>
      <c r="B6" s="2" t="s">
        <v>125</v>
      </c>
      <c r="C6" s="83">
        <v>44847.0</v>
      </c>
      <c r="D6" s="2" t="s">
        <v>126</v>
      </c>
      <c r="E6" s="2" t="s">
        <v>88</v>
      </c>
      <c r="F6" s="2" t="s">
        <v>101</v>
      </c>
      <c r="G6" s="2" t="s">
        <v>90</v>
      </c>
      <c r="H6" s="2" t="s">
        <v>111</v>
      </c>
      <c r="I6" s="2" t="s">
        <v>19</v>
      </c>
      <c r="J6" s="2" t="s">
        <v>127</v>
      </c>
      <c r="K6" s="2" t="s">
        <v>128</v>
      </c>
      <c r="L6" s="2"/>
      <c r="M6" s="2" t="s">
        <v>129</v>
      </c>
      <c r="N6" s="2" t="s">
        <v>130</v>
      </c>
      <c r="O6" s="83">
        <v>45086.0</v>
      </c>
      <c r="P6" s="2" t="s">
        <v>131</v>
      </c>
      <c r="Q6" s="2" t="s">
        <v>50</v>
      </c>
      <c r="R6" s="2" t="s">
        <v>58</v>
      </c>
      <c r="S6" s="2"/>
      <c r="T6" s="2"/>
      <c r="U6" s="2"/>
      <c r="V6" s="2"/>
      <c r="W6" s="2"/>
      <c r="X6" s="2"/>
      <c r="Y6" s="2"/>
      <c r="Z6" s="2"/>
    </row>
    <row r="7" ht="14.25" customHeight="1">
      <c r="A7" s="2" t="s">
        <v>132</v>
      </c>
      <c r="B7" s="2" t="s">
        <v>133</v>
      </c>
      <c r="C7" s="83">
        <v>45678.0</v>
      </c>
      <c r="D7" s="2" t="s">
        <v>134</v>
      </c>
      <c r="E7" s="2" t="s">
        <v>88</v>
      </c>
      <c r="F7" s="2" t="s">
        <v>101</v>
      </c>
      <c r="G7" s="2" t="s">
        <v>102</v>
      </c>
      <c r="H7" s="2" t="s">
        <v>135</v>
      </c>
      <c r="I7" s="2" t="s">
        <v>15</v>
      </c>
      <c r="J7" s="2" t="s">
        <v>136</v>
      </c>
      <c r="K7" s="2" t="s">
        <v>137</v>
      </c>
      <c r="L7" s="2"/>
      <c r="M7" s="2" t="s">
        <v>138</v>
      </c>
      <c r="N7" s="2" t="s">
        <v>139</v>
      </c>
      <c r="O7" s="2"/>
      <c r="P7" s="2" t="s">
        <v>60</v>
      </c>
      <c r="Q7" s="2"/>
      <c r="R7" s="2" t="s">
        <v>58</v>
      </c>
      <c r="S7" s="2"/>
      <c r="T7" s="2"/>
      <c r="U7" s="2"/>
      <c r="V7" s="2"/>
      <c r="W7" s="2"/>
      <c r="X7" s="2"/>
      <c r="Y7" s="2"/>
      <c r="Z7" s="2"/>
    </row>
    <row r="8" ht="14.25" customHeight="1">
      <c r="A8" s="2" t="s">
        <v>140</v>
      </c>
      <c r="B8" s="2" t="s">
        <v>141</v>
      </c>
      <c r="C8" s="83">
        <v>44740.0</v>
      </c>
      <c r="D8" s="2" t="s">
        <v>142</v>
      </c>
      <c r="E8" s="2" t="s">
        <v>88</v>
      </c>
      <c r="F8" s="2" t="s">
        <v>101</v>
      </c>
      <c r="G8" s="2" t="s">
        <v>102</v>
      </c>
      <c r="H8" s="2" t="s">
        <v>103</v>
      </c>
      <c r="I8" s="2" t="s">
        <v>15</v>
      </c>
      <c r="J8" s="2" t="s">
        <v>92</v>
      </c>
      <c r="K8" s="2" t="s">
        <v>143</v>
      </c>
      <c r="L8" s="2"/>
      <c r="M8" s="2" t="s">
        <v>129</v>
      </c>
      <c r="N8" s="2" t="s">
        <v>144</v>
      </c>
      <c r="O8" s="2"/>
      <c r="P8" s="2" t="s">
        <v>145</v>
      </c>
      <c r="Q8" s="2"/>
      <c r="R8" s="2" t="s">
        <v>63</v>
      </c>
      <c r="S8" s="2"/>
      <c r="T8" s="2"/>
      <c r="U8" s="2"/>
      <c r="V8" s="2"/>
      <c r="W8" s="2"/>
      <c r="X8" s="2"/>
      <c r="Y8" s="2"/>
      <c r="Z8" s="2"/>
    </row>
    <row r="9" ht="14.25" customHeight="1">
      <c r="A9" s="2" t="s">
        <v>146</v>
      </c>
      <c r="B9" s="2" t="s">
        <v>147</v>
      </c>
      <c r="C9" s="83">
        <v>45771.0</v>
      </c>
      <c r="D9" s="2" t="s">
        <v>148</v>
      </c>
      <c r="E9" s="2" t="s">
        <v>100</v>
      </c>
      <c r="F9" s="2" t="s">
        <v>101</v>
      </c>
      <c r="G9" s="2" t="s">
        <v>102</v>
      </c>
      <c r="H9" s="2" t="s">
        <v>149</v>
      </c>
      <c r="I9" s="2" t="s">
        <v>18</v>
      </c>
      <c r="J9" s="2" t="s">
        <v>119</v>
      </c>
      <c r="K9" s="2" t="s">
        <v>150</v>
      </c>
      <c r="L9" s="2"/>
      <c r="M9" s="2" t="s">
        <v>151</v>
      </c>
      <c r="N9" s="2" t="s">
        <v>152</v>
      </c>
      <c r="O9" s="2"/>
      <c r="P9" s="2" t="s">
        <v>46</v>
      </c>
      <c r="Q9" s="2"/>
      <c r="R9" s="2" t="s">
        <v>58</v>
      </c>
      <c r="S9" s="2"/>
      <c r="T9" s="2"/>
      <c r="U9" s="2"/>
      <c r="V9" s="2"/>
      <c r="W9" s="2"/>
      <c r="X9" s="2"/>
      <c r="Y9" s="2"/>
      <c r="Z9" s="2"/>
    </row>
    <row r="10" ht="14.25" customHeight="1">
      <c r="A10" s="2" t="s">
        <v>153</v>
      </c>
      <c r="B10" s="2" t="s">
        <v>154</v>
      </c>
      <c r="C10" s="83">
        <v>45426.0</v>
      </c>
      <c r="D10" s="2" t="s">
        <v>155</v>
      </c>
      <c r="E10" s="2" t="s">
        <v>88</v>
      </c>
      <c r="F10" s="2" t="s">
        <v>156</v>
      </c>
      <c r="G10" s="2" t="s">
        <v>90</v>
      </c>
      <c r="H10" s="2" t="s">
        <v>111</v>
      </c>
      <c r="I10" s="2" t="s">
        <v>16</v>
      </c>
      <c r="J10" s="2" t="s">
        <v>157</v>
      </c>
      <c r="K10" s="2" t="s">
        <v>158</v>
      </c>
      <c r="L10" s="2"/>
      <c r="M10" s="2" t="s">
        <v>159</v>
      </c>
      <c r="N10" s="2" t="s">
        <v>160</v>
      </c>
      <c r="O10" s="83">
        <v>45472.0</v>
      </c>
      <c r="P10" s="2" t="s">
        <v>26</v>
      </c>
      <c r="Q10" s="2" t="s">
        <v>36</v>
      </c>
      <c r="R10" s="2" t="s">
        <v>58</v>
      </c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 t="s">
        <v>161</v>
      </c>
      <c r="B11" s="2" t="s">
        <v>162</v>
      </c>
      <c r="C11" s="83">
        <v>44623.0</v>
      </c>
      <c r="D11" s="2" t="s">
        <v>163</v>
      </c>
      <c r="E11" s="2" t="s">
        <v>100</v>
      </c>
      <c r="F11" s="2" t="s">
        <v>101</v>
      </c>
      <c r="G11" s="2" t="s">
        <v>102</v>
      </c>
      <c r="H11" s="2" t="s">
        <v>164</v>
      </c>
      <c r="I11" s="2" t="s">
        <v>14</v>
      </c>
      <c r="J11" s="2" t="s">
        <v>136</v>
      </c>
      <c r="K11" s="2" t="s">
        <v>165</v>
      </c>
      <c r="L11" s="2"/>
      <c r="M11" s="2" t="s">
        <v>166</v>
      </c>
      <c r="N11" s="2" t="s">
        <v>167</v>
      </c>
      <c r="O11" s="2"/>
      <c r="P11" s="2" t="s">
        <v>168</v>
      </c>
      <c r="Q11" s="2"/>
      <c r="R11" s="2" t="s">
        <v>63</v>
      </c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 t="s">
        <v>169</v>
      </c>
      <c r="B12" s="2" t="s">
        <v>170</v>
      </c>
      <c r="C12" s="83">
        <v>44753.0</v>
      </c>
      <c r="D12" s="2" t="s">
        <v>171</v>
      </c>
      <c r="E12" s="2" t="s">
        <v>100</v>
      </c>
      <c r="F12" s="2" t="s">
        <v>101</v>
      </c>
      <c r="G12" s="2" t="s">
        <v>90</v>
      </c>
      <c r="H12" s="2" t="s">
        <v>111</v>
      </c>
      <c r="I12" s="2" t="s">
        <v>18</v>
      </c>
      <c r="J12" s="2" t="s">
        <v>119</v>
      </c>
      <c r="K12" s="2" t="s">
        <v>172</v>
      </c>
      <c r="L12" s="2"/>
      <c r="M12" s="2" t="s">
        <v>173</v>
      </c>
      <c r="N12" s="2" t="s">
        <v>174</v>
      </c>
      <c r="O12" s="83">
        <v>45230.0</v>
      </c>
      <c r="P12" s="2" t="s">
        <v>175</v>
      </c>
      <c r="Q12" s="2" t="s">
        <v>35</v>
      </c>
      <c r="R12" s="2" t="s">
        <v>61</v>
      </c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 t="s">
        <v>176</v>
      </c>
      <c r="B13" s="2" t="s">
        <v>177</v>
      </c>
      <c r="C13" s="83">
        <v>45038.0</v>
      </c>
      <c r="D13" s="2" t="s">
        <v>178</v>
      </c>
      <c r="E13" s="2" t="s">
        <v>100</v>
      </c>
      <c r="F13" s="2" t="s">
        <v>101</v>
      </c>
      <c r="G13" s="2" t="s">
        <v>102</v>
      </c>
      <c r="H13" s="2" t="s">
        <v>103</v>
      </c>
      <c r="I13" s="2" t="s">
        <v>15</v>
      </c>
      <c r="J13" s="2" t="s">
        <v>92</v>
      </c>
      <c r="K13" s="2" t="s">
        <v>137</v>
      </c>
      <c r="L13" s="2"/>
      <c r="M13" s="2" t="s">
        <v>173</v>
      </c>
      <c r="N13" s="2" t="s">
        <v>179</v>
      </c>
      <c r="O13" s="2"/>
      <c r="P13" s="2" t="s">
        <v>180</v>
      </c>
      <c r="Q13" s="2"/>
      <c r="R13" s="2" t="s">
        <v>63</v>
      </c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 t="s">
        <v>181</v>
      </c>
      <c r="B14" s="2" t="s">
        <v>182</v>
      </c>
      <c r="C14" s="83">
        <v>45596.0</v>
      </c>
      <c r="D14" s="2" t="s">
        <v>183</v>
      </c>
      <c r="E14" s="2" t="s">
        <v>100</v>
      </c>
      <c r="F14" s="2" t="s">
        <v>101</v>
      </c>
      <c r="G14" s="2" t="s">
        <v>90</v>
      </c>
      <c r="H14" s="2" t="s">
        <v>149</v>
      </c>
      <c r="I14" s="2" t="s">
        <v>15</v>
      </c>
      <c r="J14" s="2" t="s">
        <v>127</v>
      </c>
      <c r="K14" s="2" t="s">
        <v>137</v>
      </c>
      <c r="L14" s="2"/>
      <c r="M14" s="2" t="s">
        <v>159</v>
      </c>
      <c r="N14" s="2" t="s">
        <v>184</v>
      </c>
      <c r="O14" s="83">
        <v>45934.0</v>
      </c>
      <c r="P14" s="2" t="s">
        <v>30</v>
      </c>
      <c r="Q14" s="2" t="s">
        <v>31</v>
      </c>
      <c r="R14" s="2" t="s">
        <v>58</v>
      </c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 t="s">
        <v>185</v>
      </c>
      <c r="B15" s="2" t="s">
        <v>186</v>
      </c>
      <c r="C15" s="83">
        <v>44616.0</v>
      </c>
      <c r="D15" s="2" t="s">
        <v>187</v>
      </c>
      <c r="E15" s="2" t="s">
        <v>88</v>
      </c>
      <c r="F15" s="2" t="s">
        <v>101</v>
      </c>
      <c r="G15" s="2" t="s">
        <v>90</v>
      </c>
      <c r="H15" s="2" t="s">
        <v>118</v>
      </c>
      <c r="I15" s="2" t="s">
        <v>18</v>
      </c>
      <c r="J15" s="2" t="s">
        <v>92</v>
      </c>
      <c r="K15" s="2" t="s">
        <v>188</v>
      </c>
      <c r="L15" s="2"/>
      <c r="M15" s="2" t="s">
        <v>189</v>
      </c>
      <c r="N15" s="2" t="s">
        <v>122</v>
      </c>
      <c r="O15" s="83">
        <v>45795.0</v>
      </c>
      <c r="P15" s="2" t="s">
        <v>107</v>
      </c>
      <c r="Q15" s="2" t="s">
        <v>41</v>
      </c>
      <c r="R15" s="2" t="s">
        <v>63</v>
      </c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 t="s">
        <v>190</v>
      </c>
      <c r="B16" s="2" t="s">
        <v>191</v>
      </c>
      <c r="C16" s="83">
        <v>44969.0</v>
      </c>
      <c r="D16" s="2" t="s">
        <v>192</v>
      </c>
      <c r="E16" s="2" t="s">
        <v>88</v>
      </c>
      <c r="F16" s="2" t="s">
        <v>101</v>
      </c>
      <c r="G16" s="2" t="s">
        <v>102</v>
      </c>
      <c r="H16" s="2" t="s">
        <v>164</v>
      </c>
      <c r="I16" s="2" t="s">
        <v>18</v>
      </c>
      <c r="J16" s="2" t="s">
        <v>193</v>
      </c>
      <c r="K16" s="2" t="s">
        <v>172</v>
      </c>
      <c r="L16" s="2"/>
      <c r="M16" s="2" t="s">
        <v>194</v>
      </c>
      <c r="N16" s="2" t="s">
        <v>195</v>
      </c>
      <c r="O16" s="2"/>
      <c r="P16" s="2" t="s">
        <v>196</v>
      </c>
      <c r="Q16" s="2"/>
      <c r="R16" s="2" t="s">
        <v>63</v>
      </c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 t="s">
        <v>197</v>
      </c>
      <c r="B17" s="2" t="s">
        <v>198</v>
      </c>
      <c r="C17" s="83">
        <v>45892.0</v>
      </c>
      <c r="D17" s="2" t="s">
        <v>199</v>
      </c>
      <c r="E17" s="2" t="s">
        <v>88</v>
      </c>
      <c r="F17" s="2" t="s">
        <v>200</v>
      </c>
      <c r="G17" s="2" t="s">
        <v>102</v>
      </c>
      <c r="H17" s="2" t="s">
        <v>111</v>
      </c>
      <c r="I17" s="2" t="s">
        <v>16</v>
      </c>
      <c r="J17" s="2" t="s">
        <v>119</v>
      </c>
      <c r="K17" s="2" t="s">
        <v>201</v>
      </c>
      <c r="L17" s="2"/>
      <c r="M17" s="2" t="s">
        <v>166</v>
      </c>
      <c r="N17" s="2" t="s">
        <v>130</v>
      </c>
      <c r="O17" s="2"/>
      <c r="P17" s="2" t="s">
        <v>96</v>
      </c>
      <c r="Q17" s="2"/>
      <c r="R17" s="2" t="s">
        <v>58</v>
      </c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 t="s">
        <v>202</v>
      </c>
      <c r="B18" s="2" t="s">
        <v>203</v>
      </c>
      <c r="C18" s="83">
        <v>45678.0</v>
      </c>
      <c r="D18" s="2" t="s">
        <v>204</v>
      </c>
      <c r="E18" s="2" t="s">
        <v>88</v>
      </c>
      <c r="F18" s="2" t="s">
        <v>101</v>
      </c>
      <c r="G18" s="2" t="s">
        <v>102</v>
      </c>
      <c r="H18" s="2" t="s">
        <v>118</v>
      </c>
      <c r="I18" s="2" t="s">
        <v>14</v>
      </c>
      <c r="J18" s="2" t="s">
        <v>157</v>
      </c>
      <c r="K18" s="2" t="s">
        <v>165</v>
      </c>
      <c r="L18" s="2"/>
      <c r="M18" s="2" t="s">
        <v>113</v>
      </c>
      <c r="N18" s="2" t="s">
        <v>195</v>
      </c>
      <c r="O18" s="2"/>
      <c r="P18" s="2" t="s">
        <v>60</v>
      </c>
      <c r="Q18" s="2"/>
      <c r="R18" s="2" t="s">
        <v>58</v>
      </c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 t="s">
        <v>205</v>
      </c>
      <c r="B19" s="2" t="s">
        <v>206</v>
      </c>
      <c r="C19" s="83">
        <v>45421.0</v>
      </c>
      <c r="D19" s="2" t="s">
        <v>207</v>
      </c>
      <c r="E19" s="2" t="s">
        <v>88</v>
      </c>
      <c r="F19" s="2" t="s">
        <v>101</v>
      </c>
      <c r="G19" s="2" t="s">
        <v>90</v>
      </c>
      <c r="H19" s="2" t="s">
        <v>111</v>
      </c>
      <c r="I19" s="2" t="s">
        <v>14</v>
      </c>
      <c r="J19" s="2" t="s">
        <v>157</v>
      </c>
      <c r="K19" s="2" t="s">
        <v>208</v>
      </c>
      <c r="L19" s="2"/>
      <c r="M19" s="2" t="s">
        <v>194</v>
      </c>
      <c r="N19" s="2" t="s">
        <v>122</v>
      </c>
      <c r="O19" s="83">
        <v>45563.0</v>
      </c>
      <c r="P19" s="2" t="s">
        <v>26</v>
      </c>
      <c r="Q19" s="2" t="s">
        <v>32</v>
      </c>
      <c r="R19" s="2" t="s">
        <v>58</v>
      </c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 t="s">
        <v>209</v>
      </c>
      <c r="B20" s="2" t="s">
        <v>210</v>
      </c>
      <c r="C20" s="83">
        <v>45481.0</v>
      </c>
      <c r="D20" s="2" t="s">
        <v>211</v>
      </c>
      <c r="E20" s="2" t="s">
        <v>88</v>
      </c>
      <c r="F20" s="2" t="s">
        <v>101</v>
      </c>
      <c r="G20" s="2" t="s">
        <v>102</v>
      </c>
      <c r="H20" s="2" t="s">
        <v>164</v>
      </c>
      <c r="I20" s="2" t="s">
        <v>16</v>
      </c>
      <c r="J20" s="2" t="s">
        <v>136</v>
      </c>
      <c r="K20" s="2" t="s">
        <v>158</v>
      </c>
      <c r="L20" s="2"/>
      <c r="M20" s="2" t="s">
        <v>173</v>
      </c>
      <c r="N20" s="2" t="s">
        <v>212</v>
      </c>
      <c r="O20" s="2"/>
      <c r="P20" s="2" t="s">
        <v>34</v>
      </c>
      <c r="Q20" s="2"/>
      <c r="R20" s="2" t="s">
        <v>61</v>
      </c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 t="s">
        <v>213</v>
      </c>
      <c r="B21" s="2" t="s">
        <v>214</v>
      </c>
      <c r="C21" s="83">
        <v>45768.0</v>
      </c>
      <c r="D21" s="2" t="s">
        <v>215</v>
      </c>
      <c r="E21" s="2" t="s">
        <v>100</v>
      </c>
      <c r="F21" s="2" t="s">
        <v>101</v>
      </c>
      <c r="G21" s="2" t="s">
        <v>102</v>
      </c>
      <c r="H21" s="2" t="s">
        <v>91</v>
      </c>
      <c r="I21" s="2" t="s">
        <v>15</v>
      </c>
      <c r="J21" s="2" t="s">
        <v>193</v>
      </c>
      <c r="K21" s="2" t="s">
        <v>143</v>
      </c>
      <c r="L21" s="2"/>
      <c r="M21" s="2" t="s">
        <v>94</v>
      </c>
      <c r="N21" s="2" t="s">
        <v>216</v>
      </c>
      <c r="O21" s="2"/>
      <c r="P21" s="2" t="s">
        <v>46</v>
      </c>
      <c r="Q21" s="2"/>
      <c r="R21" s="2" t="s">
        <v>58</v>
      </c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 t="s">
        <v>217</v>
      </c>
      <c r="B22" s="2" t="s">
        <v>218</v>
      </c>
      <c r="C22" s="83">
        <v>45131.0</v>
      </c>
      <c r="D22" s="2" t="s">
        <v>219</v>
      </c>
      <c r="E22" s="2" t="s">
        <v>88</v>
      </c>
      <c r="F22" s="2" t="s">
        <v>101</v>
      </c>
      <c r="G22" s="2" t="s">
        <v>102</v>
      </c>
      <c r="H22" s="2" t="s">
        <v>111</v>
      </c>
      <c r="I22" s="2" t="s">
        <v>16</v>
      </c>
      <c r="J22" s="2" t="s">
        <v>193</v>
      </c>
      <c r="K22" s="2" t="s">
        <v>112</v>
      </c>
      <c r="L22" s="2"/>
      <c r="M22" s="2" t="s">
        <v>151</v>
      </c>
      <c r="N22" s="2" t="s">
        <v>212</v>
      </c>
      <c r="O22" s="2"/>
      <c r="P22" s="2" t="s">
        <v>57</v>
      </c>
      <c r="Q22" s="2"/>
      <c r="R22" s="2" t="s">
        <v>63</v>
      </c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 t="s">
        <v>220</v>
      </c>
      <c r="B23" s="2" t="s">
        <v>221</v>
      </c>
      <c r="C23" s="83">
        <v>44575.0</v>
      </c>
      <c r="D23" s="2" t="s">
        <v>222</v>
      </c>
      <c r="E23" s="2" t="s">
        <v>88</v>
      </c>
      <c r="F23" s="2" t="s">
        <v>101</v>
      </c>
      <c r="G23" s="2" t="s">
        <v>90</v>
      </c>
      <c r="H23" s="2" t="s">
        <v>111</v>
      </c>
      <c r="I23" s="2" t="s">
        <v>21</v>
      </c>
      <c r="J23" s="2" t="s">
        <v>119</v>
      </c>
      <c r="K23" s="2" t="s">
        <v>223</v>
      </c>
      <c r="L23" s="2"/>
      <c r="M23" s="2" t="s">
        <v>224</v>
      </c>
      <c r="N23" s="2" t="s">
        <v>225</v>
      </c>
      <c r="O23" s="83">
        <v>44931.0</v>
      </c>
      <c r="P23" s="2" t="s">
        <v>226</v>
      </c>
      <c r="Q23" s="2" t="s">
        <v>62</v>
      </c>
      <c r="R23" s="2" t="s">
        <v>58</v>
      </c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 t="s">
        <v>227</v>
      </c>
      <c r="B24" s="2" t="s">
        <v>228</v>
      </c>
      <c r="C24" s="83">
        <v>45427.0</v>
      </c>
      <c r="D24" s="2" t="s">
        <v>229</v>
      </c>
      <c r="E24" s="2" t="s">
        <v>88</v>
      </c>
      <c r="F24" s="2" t="s">
        <v>101</v>
      </c>
      <c r="G24" s="2" t="s">
        <v>102</v>
      </c>
      <c r="H24" s="2" t="s">
        <v>230</v>
      </c>
      <c r="I24" s="2" t="s">
        <v>19</v>
      </c>
      <c r="J24" s="2" t="s">
        <v>127</v>
      </c>
      <c r="K24" s="2" t="s">
        <v>231</v>
      </c>
      <c r="L24" s="2"/>
      <c r="M24" s="2" t="s">
        <v>232</v>
      </c>
      <c r="N24" s="2" t="s">
        <v>179</v>
      </c>
      <c r="O24" s="2"/>
      <c r="P24" s="2" t="s">
        <v>26</v>
      </c>
      <c r="Q24" s="2"/>
      <c r="R24" s="2" t="s">
        <v>61</v>
      </c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 t="s">
        <v>233</v>
      </c>
      <c r="B25" s="2" t="s">
        <v>234</v>
      </c>
      <c r="C25" s="83">
        <v>45258.0</v>
      </c>
      <c r="D25" s="2" t="s">
        <v>235</v>
      </c>
      <c r="E25" s="2" t="s">
        <v>88</v>
      </c>
      <c r="F25" s="2" t="s">
        <v>101</v>
      </c>
      <c r="G25" s="2" t="s">
        <v>102</v>
      </c>
      <c r="H25" s="2" t="s">
        <v>103</v>
      </c>
      <c r="I25" s="2" t="s">
        <v>14</v>
      </c>
      <c r="J25" s="2" t="s">
        <v>127</v>
      </c>
      <c r="K25" s="2" t="s">
        <v>208</v>
      </c>
      <c r="L25" s="2"/>
      <c r="M25" s="2" t="s">
        <v>236</v>
      </c>
      <c r="N25" s="2" t="s">
        <v>106</v>
      </c>
      <c r="O25" s="2"/>
      <c r="P25" s="2" t="s">
        <v>237</v>
      </c>
      <c r="Q25" s="2"/>
      <c r="R25" s="2" t="s">
        <v>61</v>
      </c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 t="s">
        <v>238</v>
      </c>
      <c r="B26" s="2" t="s">
        <v>239</v>
      </c>
      <c r="C26" s="83">
        <v>45131.0</v>
      </c>
      <c r="D26" s="2" t="s">
        <v>240</v>
      </c>
      <c r="E26" s="2" t="s">
        <v>241</v>
      </c>
      <c r="F26" s="2" t="s">
        <v>89</v>
      </c>
      <c r="G26" s="2" t="s">
        <v>102</v>
      </c>
      <c r="H26" s="2" t="s">
        <v>91</v>
      </c>
      <c r="I26" s="2" t="s">
        <v>15</v>
      </c>
      <c r="J26" s="2" t="s">
        <v>157</v>
      </c>
      <c r="K26" s="2" t="s">
        <v>137</v>
      </c>
      <c r="L26" s="2"/>
      <c r="M26" s="2" t="s">
        <v>151</v>
      </c>
      <c r="N26" s="2" t="s">
        <v>174</v>
      </c>
      <c r="O26" s="2"/>
      <c r="P26" s="2" t="s">
        <v>57</v>
      </c>
      <c r="Q26" s="2"/>
      <c r="R26" s="2" t="s">
        <v>63</v>
      </c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 t="s">
        <v>242</v>
      </c>
      <c r="B27" s="2" t="s">
        <v>243</v>
      </c>
      <c r="C27" s="83">
        <v>44880.0</v>
      </c>
      <c r="D27" s="2" t="s">
        <v>244</v>
      </c>
      <c r="E27" s="2" t="s">
        <v>100</v>
      </c>
      <c r="F27" s="2" t="s">
        <v>101</v>
      </c>
      <c r="G27" s="2" t="s">
        <v>102</v>
      </c>
      <c r="H27" s="2" t="s">
        <v>91</v>
      </c>
      <c r="I27" s="2" t="s">
        <v>18</v>
      </c>
      <c r="J27" s="2" t="s">
        <v>157</v>
      </c>
      <c r="K27" s="2" t="s">
        <v>188</v>
      </c>
      <c r="L27" s="2"/>
      <c r="M27" s="2" t="s">
        <v>224</v>
      </c>
      <c r="N27" s="2" t="s">
        <v>114</v>
      </c>
      <c r="O27" s="2"/>
      <c r="P27" s="2" t="s">
        <v>245</v>
      </c>
      <c r="Q27" s="2"/>
      <c r="R27" s="2" t="s">
        <v>63</v>
      </c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 t="s">
        <v>246</v>
      </c>
      <c r="B28" s="2" t="s">
        <v>247</v>
      </c>
      <c r="C28" s="83">
        <v>45002.0</v>
      </c>
      <c r="D28" s="2" t="s">
        <v>248</v>
      </c>
      <c r="E28" s="2" t="s">
        <v>88</v>
      </c>
      <c r="F28" s="2" t="s">
        <v>101</v>
      </c>
      <c r="G28" s="2" t="s">
        <v>102</v>
      </c>
      <c r="H28" s="2" t="s">
        <v>118</v>
      </c>
      <c r="I28" s="2" t="s">
        <v>14</v>
      </c>
      <c r="J28" s="2" t="s">
        <v>193</v>
      </c>
      <c r="K28" s="2" t="s">
        <v>208</v>
      </c>
      <c r="L28" s="2"/>
      <c r="M28" s="2" t="s">
        <v>151</v>
      </c>
      <c r="N28" s="2" t="s">
        <v>160</v>
      </c>
      <c r="O28" s="2"/>
      <c r="P28" s="2" t="s">
        <v>249</v>
      </c>
      <c r="Q28" s="2"/>
      <c r="R28" s="2" t="s">
        <v>63</v>
      </c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 t="s">
        <v>250</v>
      </c>
      <c r="B29" s="2" t="s">
        <v>251</v>
      </c>
      <c r="C29" s="83">
        <v>45251.0</v>
      </c>
      <c r="D29" s="2" t="s">
        <v>252</v>
      </c>
      <c r="E29" s="2" t="s">
        <v>88</v>
      </c>
      <c r="F29" s="2" t="s">
        <v>101</v>
      </c>
      <c r="G29" s="2" t="s">
        <v>102</v>
      </c>
      <c r="H29" s="2" t="s">
        <v>164</v>
      </c>
      <c r="I29" s="2" t="s">
        <v>15</v>
      </c>
      <c r="J29" s="2" t="s">
        <v>136</v>
      </c>
      <c r="K29" s="2" t="s">
        <v>137</v>
      </c>
      <c r="L29" s="2"/>
      <c r="M29" s="2" t="s">
        <v>194</v>
      </c>
      <c r="N29" s="2" t="s">
        <v>225</v>
      </c>
      <c r="O29" s="2"/>
      <c r="P29" s="2" t="s">
        <v>237</v>
      </c>
      <c r="Q29" s="2"/>
      <c r="R29" s="2" t="s">
        <v>61</v>
      </c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 t="s">
        <v>253</v>
      </c>
      <c r="B30" s="2" t="s">
        <v>254</v>
      </c>
      <c r="C30" s="83">
        <v>44771.0</v>
      </c>
      <c r="D30" s="2" t="s">
        <v>255</v>
      </c>
      <c r="E30" s="2" t="s">
        <v>100</v>
      </c>
      <c r="F30" s="2" t="s">
        <v>101</v>
      </c>
      <c r="G30" s="2" t="s">
        <v>102</v>
      </c>
      <c r="H30" s="2" t="s">
        <v>118</v>
      </c>
      <c r="I30" s="2" t="s">
        <v>15</v>
      </c>
      <c r="J30" s="2" t="s">
        <v>92</v>
      </c>
      <c r="K30" s="2" t="s">
        <v>143</v>
      </c>
      <c r="L30" s="2"/>
      <c r="M30" s="2" t="s">
        <v>129</v>
      </c>
      <c r="N30" s="2" t="s">
        <v>256</v>
      </c>
      <c r="O30" s="2"/>
      <c r="P30" s="2" t="s">
        <v>175</v>
      </c>
      <c r="Q30" s="2"/>
      <c r="R30" s="2" t="s">
        <v>63</v>
      </c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 t="s">
        <v>257</v>
      </c>
      <c r="B31" s="2" t="s">
        <v>258</v>
      </c>
      <c r="C31" s="83">
        <v>44751.0</v>
      </c>
      <c r="D31" s="2" t="s">
        <v>259</v>
      </c>
      <c r="E31" s="2" t="s">
        <v>88</v>
      </c>
      <c r="F31" s="2" t="s">
        <v>101</v>
      </c>
      <c r="G31" s="2" t="s">
        <v>102</v>
      </c>
      <c r="H31" s="2" t="s">
        <v>164</v>
      </c>
      <c r="I31" s="2" t="s">
        <v>15</v>
      </c>
      <c r="J31" s="2" t="s">
        <v>119</v>
      </c>
      <c r="K31" s="2" t="s">
        <v>260</v>
      </c>
      <c r="L31" s="2"/>
      <c r="M31" s="2" t="s">
        <v>224</v>
      </c>
      <c r="N31" s="2" t="s">
        <v>184</v>
      </c>
      <c r="O31" s="2"/>
      <c r="P31" s="2" t="s">
        <v>175</v>
      </c>
      <c r="Q31" s="2"/>
      <c r="R31" s="2" t="s">
        <v>63</v>
      </c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 t="s">
        <v>261</v>
      </c>
      <c r="B32" s="2" t="s">
        <v>262</v>
      </c>
      <c r="C32" s="83">
        <v>45340.0</v>
      </c>
      <c r="D32" s="2" t="s">
        <v>263</v>
      </c>
      <c r="E32" s="2" t="s">
        <v>88</v>
      </c>
      <c r="F32" s="2" t="s">
        <v>89</v>
      </c>
      <c r="G32" s="2" t="s">
        <v>102</v>
      </c>
      <c r="H32" s="2" t="s">
        <v>135</v>
      </c>
      <c r="I32" s="2" t="s">
        <v>15</v>
      </c>
      <c r="J32" s="2" t="s">
        <v>92</v>
      </c>
      <c r="K32" s="2" t="s">
        <v>143</v>
      </c>
      <c r="L32" s="2"/>
      <c r="M32" s="2" t="s">
        <v>173</v>
      </c>
      <c r="N32" s="2" t="s">
        <v>216</v>
      </c>
      <c r="O32" s="2"/>
      <c r="P32" s="2" t="s">
        <v>10</v>
      </c>
      <c r="Q32" s="2"/>
      <c r="R32" s="2" t="s">
        <v>61</v>
      </c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 t="s">
        <v>264</v>
      </c>
      <c r="B33" s="2" t="s">
        <v>265</v>
      </c>
      <c r="C33" s="83">
        <v>44760.0</v>
      </c>
      <c r="D33" s="2" t="s">
        <v>266</v>
      </c>
      <c r="E33" s="2" t="s">
        <v>88</v>
      </c>
      <c r="F33" s="2" t="s">
        <v>101</v>
      </c>
      <c r="G33" s="2" t="s">
        <v>102</v>
      </c>
      <c r="H33" s="2" t="s">
        <v>111</v>
      </c>
      <c r="I33" s="2" t="s">
        <v>15</v>
      </c>
      <c r="J33" s="2" t="s">
        <v>119</v>
      </c>
      <c r="K33" s="2" t="s">
        <v>260</v>
      </c>
      <c r="L33" s="2"/>
      <c r="M33" s="2" t="s">
        <v>166</v>
      </c>
      <c r="N33" s="2" t="s">
        <v>174</v>
      </c>
      <c r="O33" s="2"/>
      <c r="P33" s="2" t="s">
        <v>175</v>
      </c>
      <c r="Q33" s="2"/>
      <c r="R33" s="2" t="s">
        <v>63</v>
      </c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 t="s">
        <v>267</v>
      </c>
      <c r="B34" s="2" t="s">
        <v>268</v>
      </c>
      <c r="C34" s="83">
        <v>45297.0</v>
      </c>
      <c r="D34" s="2" t="s">
        <v>269</v>
      </c>
      <c r="E34" s="2" t="s">
        <v>88</v>
      </c>
      <c r="F34" s="2" t="s">
        <v>101</v>
      </c>
      <c r="G34" s="2" t="s">
        <v>90</v>
      </c>
      <c r="H34" s="2" t="s">
        <v>118</v>
      </c>
      <c r="I34" s="2" t="s">
        <v>19</v>
      </c>
      <c r="J34" s="2" t="s">
        <v>136</v>
      </c>
      <c r="K34" s="2" t="s">
        <v>128</v>
      </c>
      <c r="L34" s="2"/>
      <c r="M34" s="2" t="s">
        <v>270</v>
      </c>
      <c r="N34" s="2" t="s">
        <v>271</v>
      </c>
      <c r="O34" s="83">
        <v>45679.0</v>
      </c>
      <c r="P34" s="2" t="s">
        <v>23</v>
      </c>
      <c r="Q34" s="2" t="s">
        <v>60</v>
      </c>
      <c r="R34" s="2" t="s">
        <v>61</v>
      </c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 t="s">
        <v>272</v>
      </c>
      <c r="B35" s="2" t="s">
        <v>273</v>
      </c>
      <c r="C35" s="83">
        <v>45798.0</v>
      </c>
      <c r="D35" s="2" t="s">
        <v>274</v>
      </c>
      <c r="E35" s="2" t="s">
        <v>88</v>
      </c>
      <c r="F35" s="2" t="s">
        <v>101</v>
      </c>
      <c r="G35" s="2" t="s">
        <v>90</v>
      </c>
      <c r="H35" s="2" t="s">
        <v>230</v>
      </c>
      <c r="I35" s="2" t="s">
        <v>16</v>
      </c>
      <c r="J35" s="2" t="s">
        <v>157</v>
      </c>
      <c r="K35" s="2" t="s">
        <v>112</v>
      </c>
      <c r="L35" s="2"/>
      <c r="M35" s="2" t="s">
        <v>151</v>
      </c>
      <c r="N35" s="2" t="s">
        <v>122</v>
      </c>
      <c r="O35" s="83">
        <v>45861.0</v>
      </c>
      <c r="P35" s="2" t="s">
        <v>41</v>
      </c>
      <c r="Q35" s="2" t="s">
        <v>55</v>
      </c>
      <c r="R35" s="2" t="s">
        <v>58</v>
      </c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 t="s">
        <v>275</v>
      </c>
      <c r="B36" s="2" t="s">
        <v>276</v>
      </c>
      <c r="C36" s="83">
        <v>44650.0</v>
      </c>
      <c r="D36" s="2" t="s">
        <v>277</v>
      </c>
      <c r="E36" s="2" t="s">
        <v>88</v>
      </c>
      <c r="F36" s="2" t="s">
        <v>156</v>
      </c>
      <c r="G36" s="2" t="s">
        <v>90</v>
      </c>
      <c r="H36" s="2" t="s">
        <v>149</v>
      </c>
      <c r="I36" s="2" t="s">
        <v>17</v>
      </c>
      <c r="J36" s="2" t="s">
        <v>92</v>
      </c>
      <c r="K36" s="2" t="s">
        <v>278</v>
      </c>
      <c r="L36" s="2"/>
      <c r="M36" s="2" t="s">
        <v>279</v>
      </c>
      <c r="N36" s="2" t="s">
        <v>152</v>
      </c>
      <c r="O36" s="83">
        <v>45620.0</v>
      </c>
      <c r="P36" s="2" t="s">
        <v>168</v>
      </c>
      <c r="Q36" s="2" t="s">
        <v>12</v>
      </c>
      <c r="R36" s="2" t="s">
        <v>63</v>
      </c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 t="s">
        <v>280</v>
      </c>
      <c r="B37" s="2" t="s">
        <v>281</v>
      </c>
      <c r="C37" s="83">
        <v>45660.0</v>
      </c>
      <c r="D37" s="2" t="s">
        <v>282</v>
      </c>
      <c r="E37" s="2" t="s">
        <v>88</v>
      </c>
      <c r="F37" s="2" t="s">
        <v>101</v>
      </c>
      <c r="G37" s="2" t="s">
        <v>90</v>
      </c>
      <c r="H37" s="2" t="s">
        <v>135</v>
      </c>
      <c r="I37" s="2" t="s">
        <v>16</v>
      </c>
      <c r="J37" s="2" t="s">
        <v>119</v>
      </c>
      <c r="K37" s="2" t="s">
        <v>112</v>
      </c>
      <c r="L37" s="2"/>
      <c r="M37" s="2" t="s">
        <v>129</v>
      </c>
      <c r="N37" s="2" t="s">
        <v>106</v>
      </c>
      <c r="O37" s="83">
        <v>45753.0</v>
      </c>
      <c r="P37" s="2" t="s">
        <v>60</v>
      </c>
      <c r="Q37" s="2" t="s">
        <v>46</v>
      </c>
      <c r="R37" s="2" t="s">
        <v>58</v>
      </c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 t="s">
        <v>283</v>
      </c>
      <c r="B38" s="2" t="s">
        <v>284</v>
      </c>
      <c r="C38" s="83">
        <v>45337.0</v>
      </c>
      <c r="D38" s="2" t="s">
        <v>285</v>
      </c>
      <c r="E38" s="2" t="s">
        <v>88</v>
      </c>
      <c r="F38" s="2" t="s">
        <v>101</v>
      </c>
      <c r="G38" s="2" t="s">
        <v>102</v>
      </c>
      <c r="H38" s="2" t="s">
        <v>111</v>
      </c>
      <c r="I38" s="2" t="s">
        <v>16</v>
      </c>
      <c r="J38" s="2" t="s">
        <v>193</v>
      </c>
      <c r="K38" s="2" t="s">
        <v>112</v>
      </c>
      <c r="L38" s="2"/>
      <c r="M38" s="2" t="s">
        <v>236</v>
      </c>
      <c r="N38" s="2" t="s">
        <v>130</v>
      </c>
      <c r="O38" s="2"/>
      <c r="P38" s="2" t="s">
        <v>10</v>
      </c>
      <c r="Q38" s="2"/>
      <c r="R38" s="2" t="s">
        <v>61</v>
      </c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 t="s">
        <v>286</v>
      </c>
      <c r="B39" s="2" t="s">
        <v>287</v>
      </c>
      <c r="C39" s="83">
        <v>44723.0</v>
      </c>
      <c r="D39" s="2" t="s">
        <v>288</v>
      </c>
      <c r="E39" s="2" t="s">
        <v>88</v>
      </c>
      <c r="F39" s="2" t="s">
        <v>101</v>
      </c>
      <c r="G39" s="2" t="s">
        <v>102</v>
      </c>
      <c r="H39" s="2" t="s">
        <v>230</v>
      </c>
      <c r="I39" s="2" t="s">
        <v>15</v>
      </c>
      <c r="J39" s="2" t="s">
        <v>157</v>
      </c>
      <c r="K39" s="2" t="s">
        <v>260</v>
      </c>
      <c r="L39" s="2"/>
      <c r="M39" s="2" t="s">
        <v>194</v>
      </c>
      <c r="N39" s="2" t="s">
        <v>167</v>
      </c>
      <c r="O39" s="2"/>
      <c r="P39" s="2" t="s">
        <v>145</v>
      </c>
      <c r="Q39" s="2"/>
      <c r="R39" s="2" t="s">
        <v>63</v>
      </c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 t="s">
        <v>289</v>
      </c>
      <c r="B40" s="2" t="s">
        <v>290</v>
      </c>
      <c r="C40" s="83">
        <v>45692.0</v>
      </c>
      <c r="D40" s="2" t="s">
        <v>291</v>
      </c>
      <c r="E40" s="2" t="s">
        <v>88</v>
      </c>
      <c r="F40" s="2" t="s">
        <v>156</v>
      </c>
      <c r="G40" s="2" t="s">
        <v>102</v>
      </c>
      <c r="H40" s="2" t="s">
        <v>164</v>
      </c>
      <c r="I40" s="2" t="s">
        <v>14</v>
      </c>
      <c r="J40" s="2" t="s">
        <v>136</v>
      </c>
      <c r="K40" s="2" t="s">
        <v>292</v>
      </c>
      <c r="L40" s="2"/>
      <c r="M40" s="2" t="s">
        <v>189</v>
      </c>
      <c r="N40" s="2" t="s">
        <v>293</v>
      </c>
      <c r="O40" s="2"/>
      <c r="P40" s="2" t="s">
        <v>64</v>
      </c>
      <c r="Q40" s="2"/>
      <c r="R40" s="2" t="s">
        <v>58</v>
      </c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 t="s">
        <v>294</v>
      </c>
      <c r="B41" s="2" t="s">
        <v>295</v>
      </c>
      <c r="C41" s="83">
        <v>45162.0</v>
      </c>
      <c r="D41" s="2" t="s">
        <v>296</v>
      </c>
      <c r="E41" s="2" t="s">
        <v>88</v>
      </c>
      <c r="F41" s="2" t="s">
        <v>101</v>
      </c>
      <c r="G41" s="2" t="s">
        <v>90</v>
      </c>
      <c r="H41" s="2" t="s">
        <v>111</v>
      </c>
      <c r="I41" s="2" t="s">
        <v>17</v>
      </c>
      <c r="J41" s="2" t="s">
        <v>136</v>
      </c>
      <c r="K41" s="2" t="s">
        <v>297</v>
      </c>
      <c r="L41" s="2"/>
      <c r="M41" s="2" t="s">
        <v>173</v>
      </c>
      <c r="N41" s="2" t="s">
        <v>256</v>
      </c>
      <c r="O41" s="83">
        <v>45835.0</v>
      </c>
      <c r="P41" s="2" t="s">
        <v>298</v>
      </c>
      <c r="Q41" s="2" t="s">
        <v>24</v>
      </c>
      <c r="R41" s="2" t="s">
        <v>61</v>
      </c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 t="s">
        <v>299</v>
      </c>
      <c r="B42" s="2" t="s">
        <v>300</v>
      </c>
      <c r="C42" s="83">
        <v>45828.0</v>
      </c>
      <c r="D42" s="2" t="s">
        <v>301</v>
      </c>
      <c r="E42" s="2" t="s">
        <v>88</v>
      </c>
      <c r="F42" s="2" t="s">
        <v>101</v>
      </c>
      <c r="G42" s="2" t="s">
        <v>102</v>
      </c>
      <c r="H42" s="2" t="s">
        <v>135</v>
      </c>
      <c r="I42" s="2" t="s">
        <v>20</v>
      </c>
      <c r="J42" s="2" t="s">
        <v>127</v>
      </c>
      <c r="K42" s="2" t="s">
        <v>302</v>
      </c>
      <c r="L42" s="2"/>
      <c r="M42" s="2" t="s">
        <v>151</v>
      </c>
      <c r="N42" s="2" t="s">
        <v>303</v>
      </c>
      <c r="O42" s="2"/>
      <c r="P42" s="2" t="s">
        <v>24</v>
      </c>
      <c r="Q42" s="2"/>
      <c r="R42" s="2" t="s">
        <v>58</v>
      </c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 t="s">
        <v>304</v>
      </c>
      <c r="B43" s="2" t="s">
        <v>305</v>
      </c>
      <c r="C43" s="83">
        <v>45302.0</v>
      </c>
      <c r="D43" s="2" t="s">
        <v>306</v>
      </c>
      <c r="E43" s="2" t="s">
        <v>100</v>
      </c>
      <c r="F43" s="2" t="s">
        <v>101</v>
      </c>
      <c r="G43" s="2" t="s">
        <v>102</v>
      </c>
      <c r="H43" s="2" t="s">
        <v>164</v>
      </c>
      <c r="I43" s="2" t="s">
        <v>15</v>
      </c>
      <c r="J43" s="2" t="s">
        <v>92</v>
      </c>
      <c r="K43" s="2" t="s">
        <v>137</v>
      </c>
      <c r="L43" s="2"/>
      <c r="M43" s="2" t="s">
        <v>194</v>
      </c>
      <c r="N43" s="2" t="s">
        <v>114</v>
      </c>
      <c r="O43" s="2"/>
      <c r="P43" s="2" t="s">
        <v>23</v>
      </c>
      <c r="Q43" s="2"/>
      <c r="R43" s="2" t="s">
        <v>61</v>
      </c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 t="s">
        <v>307</v>
      </c>
      <c r="B44" s="2" t="s">
        <v>308</v>
      </c>
      <c r="C44" s="83">
        <v>45744.0</v>
      </c>
      <c r="D44" s="2" t="s">
        <v>309</v>
      </c>
      <c r="E44" s="2" t="s">
        <v>88</v>
      </c>
      <c r="F44" s="2" t="s">
        <v>101</v>
      </c>
      <c r="G44" s="2" t="s">
        <v>102</v>
      </c>
      <c r="H44" s="2" t="s">
        <v>111</v>
      </c>
      <c r="I44" s="2" t="s">
        <v>16</v>
      </c>
      <c r="J44" s="2" t="s">
        <v>157</v>
      </c>
      <c r="K44" s="2" t="s">
        <v>158</v>
      </c>
      <c r="L44" s="2"/>
      <c r="M44" s="2" t="s">
        <v>173</v>
      </c>
      <c r="N44" s="2" t="s">
        <v>195</v>
      </c>
      <c r="O44" s="2"/>
      <c r="P44" s="2" t="s">
        <v>47</v>
      </c>
      <c r="Q44" s="2"/>
      <c r="R44" s="2" t="s">
        <v>58</v>
      </c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 t="s">
        <v>310</v>
      </c>
      <c r="B45" s="2" t="s">
        <v>311</v>
      </c>
      <c r="C45" s="83">
        <v>44955.0</v>
      </c>
      <c r="D45" s="2" t="s">
        <v>312</v>
      </c>
      <c r="E45" s="2" t="s">
        <v>88</v>
      </c>
      <c r="F45" s="2" t="s">
        <v>101</v>
      </c>
      <c r="G45" s="2" t="s">
        <v>102</v>
      </c>
      <c r="H45" s="2" t="s">
        <v>111</v>
      </c>
      <c r="I45" s="2" t="s">
        <v>17</v>
      </c>
      <c r="J45" s="2" t="s">
        <v>193</v>
      </c>
      <c r="K45" s="2" t="s">
        <v>278</v>
      </c>
      <c r="L45" s="2"/>
      <c r="M45" s="2" t="s">
        <v>113</v>
      </c>
      <c r="N45" s="2" t="s">
        <v>271</v>
      </c>
      <c r="O45" s="2"/>
      <c r="P45" s="2" t="s">
        <v>62</v>
      </c>
      <c r="Q45" s="2"/>
      <c r="R45" s="2" t="s">
        <v>63</v>
      </c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 t="s">
        <v>313</v>
      </c>
      <c r="B46" s="2" t="s">
        <v>314</v>
      </c>
      <c r="C46" s="83">
        <v>44704.0</v>
      </c>
      <c r="D46" s="2" t="s">
        <v>315</v>
      </c>
      <c r="E46" s="2" t="s">
        <v>100</v>
      </c>
      <c r="F46" s="2" t="s">
        <v>101</v>
      </c>
      <c r="G46" s="2" t="s">
        <v>102</v>
      </c>
      <c r="H46" s="2" t="s">
        <v>118</v>
      </c>
      <c r="I46" s="2" t="s">
        <v>16</v>
      </c>
      <c r="J46" s="2" t="s">
        <v>136</v>
      </c>
      <c r="K46" s="2" t="s">
        <v>112</v>
      </c>
      <c r="L46" s="2"/>
      <c r="M46" s="2" t="s">
        <v>173</v>
      </c>
      <c r="N46" s="2" t="s">
        <v>152</v>
      </c>
      <c r="O46" s="2"/>
      <c r="P46" s="2" t="s">
        <v>316</v>
      </c>
      <c r="Q46" s="2"/>
      <c r="R46" s="2" t="s">
        <v>63</v>
      </c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 t="s">
        <v>317</v>
      </c>
      <c r="B47" s="2" t="s">
        <v>318</v>
      </c>
      <c r="C47" s="83">
        <v>44655.0</v>
      </c>
      <c r="D47" s="2" t="s">
        <v>319</v>
      </c>
      <c r="E47" s="2" t="s">
        <v>88</v>
      </c>
      <c r="F47" s="2" t="s">
        <v>101</v>
      </c>
      <c r="G47" s="2" t="s">
        <v>102</v>
      </c>
      <c r="H47" s="2" t="s">
        <v>118</v>
      </c>
      <c r="I47" s="2" t="s">
        <v>20</v>
      </c>
      <c r="J47" s="2" t="s">
        <v>119</v>
      </c>
      <c r="K47" s="2" t="s">
        <v>302</v>
      </c>
      <c r="L47" s="2"/>
      <c r="M47" s="2" t="s">
        <v>194</v>
      </c>
      <c r="N47" s="2" t="s">
        <v>293</v>
      </c>
      <c r="O47" s="2"/>
      <c r="P47" s="2" t="s">
        <v>320</v>
      </c>
      <c r="Q47" s="2"/>
      <c r="R47" s="2" t="s">
        <v>63</v>
      </c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 t="s">
        <v>321</v>
      </c>
      <c r="B48" s="2" t="s">
        <v>322</v>
      </c>
      <c r="C48" s="83">
        <v>45916.0</v>
      </c>
      <c r="D48" s="2" t="s">
        <v>323</v>
      </c>
      <c r="E48" s="2" t="s">
        <v>88</v>
      </c>
      <c r="F48" s="2" t="s">
        <v>101</v>
      </c>
      <c r="G48" s="2" t="s">
        <v>102</v>
      </c>
      <c r="H48" s="2" t="s">
        <v>164</v>
      </c>
      <c r="I48" s="2" t="s">
        <v>17</v>
      </c>
      <c r="J48" s="2" t="s">
        <v>92</v>
      </c>
      <c r="K48" s="2" t="s">
        <v>297</v>
      </c>
      <c r="L48" s="2"/>
      <c r="M48" s="2" t="s">
        <v>138</v>
      </c>
      <c r="N48" s="2" t="s">
        <v>144</v>
      </c>
      <c r="O48" s="2"/>
      <c r="P48" s="2" t="s">
        <v>11</v>
      </c>
      <c r="Q48" s="2"/>
      <c r="R48" s="2" t="s">
        <v>58</v>
      </c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 t="s">
        <v>324</v>
      </c>
      <c r="B49" s="2" t="s">
        <v>325</v>
      </c>
      <c r="C49" s="83">
        <v>45028.0</v>
      </c>
      <c r="D49" s="2" t="s">
        <v>326</v>
      </c>
      <c r="E49" s="2" t="s">
        <v>88</v>
      </c>
      <c r="F49" s="2" t="s">
        <v>101</v>
      </c>
      <c r="G49" s="2" t="s">
        <v>102</v>
      </c>
      <c r="H49" s="2" t="s">
        <v>149</v>
      </c>
      <c r="I49" s="2" t="s">
        <v>14</v>
      </c>
      <c r="J49" s="2" t="s">
        <v>127</v>
      </c>
      <c r="K49" s="2" t="s">
        <v>292</v>
      </c>
      <c r="L49" s="2"/>
      <c r="M49" s="2" t="s">
        <v>236</v>
      </c>
      <c r="N49" s="2" t="s">
        <v>303</v>
      </c>
      <c r="O49" s="2"/>
      <c r="P49" s="2" t="s">
        <v>180</v>
      </c>
      <c r="Q49" s="2"/>
      <c r="R49" s="2" t="s">
        <v>63</v>
      </c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 t="s">
        <v>327</v>
      </c>
      <c r="B50" s="2" t="s">
        <v>328</v>
      </c>
      <c r="C50" s="83">
        <v>45154.0</v>
      </c>
      <c r="D50" s="2" t="s">
        <v>329</v>
      </c>
      <c r="E50" s="2" t="s">
        <v>88</v>
      </c>
      <c r="F50" s="2" t="s">
        <v>101</v>
      </c>
      <c r="G50" s="2" t="s">
        <v>102</v>
      </c>
      <c r="H50" s="2" t="s">
        <v>118</v>
      </c>
      <c r="I50" s="2" t="s">
        <v>16</v>
      </c>
      <c r="J50" s="2" t="s">
        <v>157</v>
      </c>
      <c r="K50" s="2" t="s">
        <v>201</v>
      </c>
      <c r="L50" s="2"/>
      <c r="M50" s="2" t="s">
        <v>232</v>
      </c>
      <c r="N50" s="2" t="s">
        <v>152</v>
      </c>
      <c r="O50" s="2"/>
      <c r="P50" s="2" t="s">
        <v>298</v>
      </c>
      <c r="Q50" s="2"/>
      <c r="R50" s="2" t="s">
        <v>63</v>
      </c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 t="s">
        <v>330</v>
      </c>
      <c r="B51" s="2" t="s">
        <v>331</v>
      </c>
      <c r="C51" s="83">
        <v>44725.0</v>
      </c>
      <c r="D51" s="2" t="s">
        <v>332</v>
      </c>
      <c r="E51" s="2" t="s">
        <v>100</v>
      </c>
      <c r="F51" s="2" t="s">
        <v>101</v>
      </c>
      <c r="G51" s="2" t="s">
        <v>102</v>
      </c>
      <c r="H51" s="2" t="s">
        <v>118</v>
      </c>
      <c r="I51" s="2" t="s">
        <v>16</v>
      </c>
      <c r="J51" s="2" t="s">
        <v>157</v>
      </c>
      <c r="K51" s="2" t="s">
        <v>158</v>
      </c>
      <c r="L51" s="2"/>
      <c r="M51" s="2" t="s">
        <v>224</v>
      </c>
      <c r="N51" s="2" t="s">
        <v>184</v>
      </c>
      <c r="O51" s="2"/>
      <c r="P51" s="2" t="s">
        <v>145</v>
      </c>
      <c r="Q51" s="2"/>
      <c r="R51" s="2" t="s">
        <v>63</v>
      </c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 t="s">
        <v>333</v>
      </c>
      <c r="B52" s="2" t="s">
        <v>334</v>
      </c>
      <c r="C52" s="83">
        <v>45038.0</v>
      </c>
      <c r="D52" s="2" t="s">
        <v>335</v>
      </c>
      <c r="E52" s="2" t="s">
        <v>100</v>
      </c>
      <c r="F52" s="2" t="s">
        <v>101</v>
      </c>
      <c r="G52" s="2" t="s">
        <v>90</v>
      </c>
      <c r="H52" s="2" t="s">
        <v>118</v>
      </c>
      <c r="I52" s="2" t="s">
        <v>14</v>
      </c>
      <c r="J52" s="2" t="s">
        <v>193</v>
      </c>
      <c r="K52" s="2" t="s">
        <v>208</v>
      </c>
      <c r="L52" s="2"/>
      <c r="M52" s="2" t="s">
        <v>189</v>
      </c>
      <c r="N52" s="2" t="s">
        <v>179</v>
      </c>
      <c r="O52" s="83">
        <v>45171.0</v>
      </c>
      <c r="P52" s="2" t="s">
        <v>180</v>
      </c>
      <c r="Q52" s="2" t="s">
        <v>27</v>
      </c>
      <c r="R52" s="2" t="s">
        <v>58</v>
      </c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 t="s">
        <v>336</v>
      </c>
      <c r="B53" s="2" t="s">
        <v>337</v>
      </c>
      <c r="C53" s="83">
        <v>45340.0</v>
      </c>
      <c r="D53" s="2" t="s">
        <v>338</v>
      </c>
      <c r="E53" s="2" t="s">
        <v>100</v>
      </c>
      <c r="F53" s="2" t="s">
        <v>101</v>
      </c>
      <c r="G53" s="2" t="s">
        <v>102</v>
      </c>
      <c r="H53" s="2" t="s">
        <v>230</v>
      </c>
      <c r="I53" s="2" t="s">
        <v>18</v>
      </c>
      <c r="J53" s="2" t="s">
        <v>119</v>
      </c>
      <c r="K53" s="2" t="s">
        <v>150</v>
      </c>
      <c r="L53" s="2"/>
      <c r="M53" s="2" t="s">
        <v>121</v>
      </c>
      <c r="N53" s="2" t="s">
        <v>184</v>
      </c>
      <c r="O53" s="2"/>
      <c r="P53" s="2" t="s">
        <v>10</v>
      </c>
      <c r="Q53" s="2"/>
      <c r="R53" s="2" t="s">
        <v>61</v>
      </c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 t="s">
        <v>339</v>
      </c>
      <c r="B54" s="2" t="s">
        <v>340</v>
      </c>
      <c r="C54" s="83">
        <v>45131.0</v>
      </c>
      <c r="D54" s="2" t="s">
        <v>341</v>
      </c>
      <c r="E54" s="2" t="s">
        <v>88</v>
      </c>
      <c r="F54" s="2" t="s">
        <v>89</v>
      </c>
      <c r="G54" s="2" t="s">
        <v>102</v>
      </c>
      <c r="H54" s="2" t="s">
        <v>135</v>
      </c>
      <c r="I54" s="2" t="s">
        <v>17</v>
      </c>
      <c r="J54" s="2" t="s">
        <v>119</v>
      </c>
      <c r="K54" s="2" t="s">
        <v>278</v>
      </c>
      <c r="L54" s="2"/>
      <c r="M54" s="2" t="s">
        <v>121</v>
      </c>
      <c r="N54" s="2" t="s">
        <v>342</v>
      </c>
      <c r="O54" s="2"/>
      <c r="P54" s="2" t="s">
        <v>57</v>
      </c>
      <c r="Q54" s="2"/>
      <c r="R54" s="2" t="s">
        <v>63</v>
      </c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 t="s">
        <v>343</v>
      </c>
      <c r="B55" s="2" t="s">
        <v>344</v>
      </c>
      <c r="C55" s="83">
        <v>45490.0</v>
      </c>
      <c r="D55" s="2" t="s">
        <v>345</v>
      </c>
      <c r="E55" s="2" t="s">
        <v>88</v>
      </c>
      <c r="F55" s="2" t="s">
        <v>101</v>
      </c>
      <c r="G55" s="2" t="s">
        <v>102</v>
      </c>
      <c r="H55" s="2" t="s">
        <v>164</v>
      </c>
      <c r="I55" s="2" t="s">
        <v>15</v>
      </c>
      <c r="J55" s="2" t="s">
        <v>92</v>
      </c>
      <c r="K55" s="2" t="s">
        <v>137</v>
      </c>
      <c r="L55" s="2"/>
      <c r="M55" s="2" t="s">
        <v>159</v>
      </c>
      <c r="N55" s="2" t="s">
        <v>152</v>
      </c>
      <c r="O55" s="2"/>
      <c r="P55" s="2" t="s">
        <v>34</v>
      </c>
      <c r="Q55" s="2"/>
      <c r="R55" s="2" t="s">
        <v>61</v>
      </c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 t="s">
        <v>346</v>
      </c>
      <c r="B56" s="2" t="s">
        <v>347</v>
      </c>
      <c r="C56" s="83">
        <v>45863.0</v>
      </c>
      <c r="D56" s="2" t="s">
        <v>348</v>
      </c>
      <c r="E56" s="2" t="s">
        <v>100</v>
      </c>
      <c r="F56" s="2" t="s">
        <v>89</v>
      </c>
      <c r="G56" s="2" t="s">
        <v>102</v>
      </c>
      <c r="H56" s="2" t="s">
        <v>164</v>
      </c>
      <c r="I56" s="2" t="s">
        <v>19</v>
      </c>
      <c r="J56" s="2" t="s">
        <v>92</v>
      </c>
      <c r="K56" s="2" t="s">
        <v>128</v>
      </c>
      <c r="L56" s="2"/>
      <c r="M56" s="2" t="s">
        <v>94</v>
      </c>
      <c r="N56" s="2" t="s">
        <v>293</v>
      </c>
      <c r="O56" s="2"/>
      <c r="P56" s="2" t="s">
        <v>55</v>
      </c>
      <c r="Q56" s="2"/>
      <c r="R56" s="2" t="s">
        <v>58</v>
      </c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 t="s">
        <v>349</v>
      </c>
      <c r="B57" s="2" t="s">
        <v>350</v>
      </c>
      <c r="C57" s="83">
        <v>45309.0</v>
      </c>
      <c r="D57" s="2" t="s">
        <v>351</v>
      </c>
      <c r="E57" s="2" t="s">
        <v>100</v>
      </c>
      <c r="F57" s="2" t="s">
        <v>101</v>
      </c>
      <c r="G57" s="2" t="s">
        <v>102</v>
      </c>
      <c r="H57" s="2" t="s">
        <v>230</v>
      </c>
      <c r="I57" s="2" t="s">
        <v>17</v>
      </c>
      <c r="J57" s="2" t="s">
        <v>92</v>
      </c>
      <c r="K57" s="2" t="s">
        <v>278</v>
      </c>
      <c r="L57" s="2"/>
      <c r="M57" s="2" t="s">
        <v>138</v>
      </c>
      <c r="N57" s="2" t="s">
        <v>144</v>
      </c>
      <c r="O57" s="2"/>
      <c r="P57" s="2" t="s">
        <v>23</v>
      </c>
      <c r="Q57" s="2"/>
      <c r="R57" s="2" t="s">
        <v>61</v>
      </c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 t="s">
        <v>352</v>
      </c>
      <c r="B58" s="2" t="s">
        <v>353</v>
      </c>
      <c r="C58" s="83">
        <v>44895.0</v>
      </c>
      <c r="D58" s="2" t="s">
        <v>354</v>
      </c>
      <c r="E58" s="2" t="s">
        <v>88</v>
      </c>
      <c r="F58" s="2" t="s">
        <v>200</v>
      </c>
      <c r="G58" s="2" t="s">
        <v>102</v>
      </c>
      <c r="H58" s="2" t="s">
        <v>91</v>
      </c>
      <c r="I58" s="2" t="s">
        <v>14</v>
      </c>
      <c r="J58" s="2" t="s">
        <v>92</v>
      </c>
      <c r="K58" s="2" t="s">
        <v>355</v>
      </c>
      <c r="L58" s="2"/>
      <c r="M58" s="2" t="s">
        <v>189</v>
      </c>
      <c r="N58" s="2" t="s">
        <v>212</v>
      </c>
      <c r="O58" s="2"/>
      <c r="P58" s="2" t="s">
        <v>245</v>
      </c>
      <c r="Q58" s="2"/>
      <c r="R58" s="2" t="s">
        <v>63</v>
      </c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 t="s">
        <v>356</v>
      </c>
      <c r="B59" s="2" t="s">
        <v>357</v>
      </c>
      <c r="C59" s="83">
        <v>45320.0</v>
      </c>
      <c r="D59" s="2" t="s">
        <v>358</v>
      </c>
      <c r="E59" s="2" t="s">
        <v>100</v>
      </c>
      <c r="F59" s="2" t="s">
        <v>101</v>
      </c>
      <c r="G59" s="2" t="s">
        <v>102</v>
      </c>
      <c r="H59" s="2" t="s">
        <v>111</v>
      </c>
      <c r="I59" s="2" t="s">
        <v>18</v>
      </c>
      <c r="J59" s="2" t="s">
        <v>119</v>
      </c>
      <c r="K59" s="2" t="s">
        <v>172</v>
      </c>
      <c r="L59" s="2"/>
      <c r="M59" s="2" t="s">
        <v>121</v>
      </c>
      <c r="N59" s="2" t="s">
        <v>195</v>
      </c>
      <c r="O59" s="2"/>
      <c r="P59" s="2" t="s">
        <v>23</v>
      </c>
      <c r="Q59" s="2"/>
      <c r="R59" s="2" t="s">
        <v>61</v>
      </c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 t="s">
        <v>359</v>
      </c>
      <c r="B60" s="2" t="s">
        <v>360</v>
      </c>
      <c r="C60" s="83">
        <v>45289.0</v>
      </c>
      <c r="D60" s="2" t="s">
        <v>361</v>
      </c>
      <c r="E60" s="2" t="s">
        <v>88</v>
      </c>
      <c r="F60" s="2" t="s">
        <v>101</v>
      </c>
      <c r="G60" s="2" t="s">
        <v>90</v>
      </c>
      <c r="H60" s="2" t="s">
        <v>118</v>
      </c>
      <c r="I60" s="2" t="s">
        <v>18</v>
      </c>
      <c r="J60" s="2" t="s">
        <v>193</v>
      </c>
      <c r="K60" s="2" t="s">
        <v>188</v>
      </c>
      <c r="L60" s="2"/>
      <c r="M60" s="2" t="s">
        <v>138</v>
      </c>
      <c r="N60" s="2" t="s">
        <v>160</v>
      </c>
      <c r="O60" s="83">
        <v>45533.0</v>
      </c>
      <c r="P60" s="2" t="s">
        <v>65</v>
      </c>
      <c r="Q60" s="2" t="s">
        <v>39</v>
      </c>
      <c r="R60" s="2" t="s">
        <v>58</v>
      </c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 t="s">
        <v>362</v>
      </c>
      <c r="B61" s="2" t="s">
        <v>363</v>
      </c>
      <c r="C61" s="83">
        <v>45108.0</v>
      </c>
      <c r="D61" s="2" t="s">
        <v>364</v>
      </c>
      <c r="E61" s="2" t="s">
        <v>100</v>
      </c>
      <c r="F61" s="2" t="s">
        <v>101</v>
      </c>
      <c r="G61" s="2" t="s">
        <v>102</v>
      </c>
      <c r="H61" s="2" t="s">
        <v>111</v>
      </c>
      <c r="I61" s="2" t="s">
        <v>14</v>
      </c>
      <c r="J61" s="2" t="s">
        <v>119</v>
      </c>
      <c r="K61" s="2" t="s">
        <v>355</v>
      </c>
      <c r="L61" s="2"/>
      <c r="M61" s="2" t="s">
        <v>105</v>
      </c>
      <c r="N61" s="2" t="s">
        <v>256</v>
      </c>
      <c r="O61" s="2"/>
      <c r="P61" s="2" t="s">
        <v>57</v>
      </c>
      <c r="Q61" s="2"/>
      <c r="R61" s="2" t="s">
        <v>63</v>
      </c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 t="s">
        <v>365</v>
      </c>
      <c r="B62" s="2" t="s">
        <v>366</v>
      </c>
      <c r="C62" s="83">
        <v>45889.0</v>
      </c>
      <c r="D62" s="2" t="s">
        <v>367</v>
      </c>
      <c r="E62" s="2" t="s">
        <v>100</v>
      </c>
      <c r="F62" s="2" t="s">
        <v>101</v>
      </c>
      <c r="G62" s="2" t="s">
        <v>102</v>
      </c>
      <c r="H62" s="2" t="s">
        <v>149</v>
      </c>
      <c r="I62" s="2" t="s">
        <v>19</v>
      </c>
      <c r="J62" s="2" t="s">
        <v>92</v>
      </c>
      <c r="K62" s="2" t="s">
        <v>368</v>
      </c>
      <c r="L62" s="2"/>
      <c r="M62" s="2" t="s">
        <v>173</v>
      </c>
      <c r="N62" s="2" t="s">
        <v>139</v>
      </c>
      <c r="O62" s="2"/>
      <c r="P62" s="2" t="s">
        <v>96</v>
      </c>
      <c r="Q62" s="2"/>
      <c r="R62" s="2" t="s">
        <v>58</v>
      </c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 t="s">
        <v>369</v>
      </c>
      <c r="B63" s="2" t="s">
        <v>370</v>
      </c>
      <c r="C63" s="83">
        <v>44708.0</v>
      </c>
      <c r="D63" s="2" t="s">
        <v>371</v>
      </c>
      <c r="E63" s="2" t="s">
        <v>88</v>
      </c>
      <c r="F63" s="2" t="s">
        <v>89</v>
      </c>
      <c r="G63" s="2" t="s">
        <v>102</v>
      </c>
      <c r="H63" s="2" t="s">
        <v>164</v>
      </c>
      <c r="I63" s="2" t="s">
        <v>15</v>
      </c>
      <c r="J63" s="2" t="s">
        <v>157</v>
      </c>
      <c r="K63" s="2" t="s">
        <v>260</v>
      </c>
      <c r="L63" s="2"/>
      <c r="M63" s="2" t="s">
        <v>224</v>
      </c>
      <c r="N63" s="2" t="s">
        <v>114</v>
      </c>
      <c r="O63" s="2"/>
      <c r="P63" s="2" t="s">
        <v>316</v>
      </c>
      <c r="Q63" s="2"/>
      <c r="R63" s="2" t="s">
        <v>63</v>
      </c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 t="s">
        <v>372</v>
      </c>
      <c r="B64" s="2" t="s">
        <v>373</v>
      </c>
      <c r="C64" s="83">
        <v>45809.0</v>
      </c>
      <c r="D64" s="2" t="s">
        <v>374</v>
      </c>
      <c r="E64" s="2" t="s">
        <v>100</v>
      </c>
      <c r="F64" s="2" t="s">
        <v>200</v>
      </c>
      <c r="G64" s="2" t="s">
        <v>102</v>
      </c>
      <c r="H64" s="2" t="s">
        <v>149</v>
      </c>
      <c r="I64" s="2" t="s">
        <v>19</v>
      </c>
      <c r="J64" s="2" t="s">
        <v>119</v>
      </c>
      <c r="K64" s="2" t="s">
        <v>128</v>
      </c>
      <c r="L64" s="2"/>
      <c r="M64" s="2" t="s">
        <v>279</v>
      </c>
      <c r="N64" s="2" t="s">
        <v>303</v>
      </c>
      <c r="O64" s="2"/>
      <c r="P64" s="2" t="s">
        <v>24</v>
      </c>
      <c r="Q64" s="2"/>
      <c r="R64" s="2" t="s">
        <v>58</v>
      </c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 t="s">
        <v>375</v>
      </c>
      <c r="B65" s="2" t="s">
        <v>376</v>
      </c>
      <c r="C65" s="83">
        <v>45862.0</v>
      </c>
      <c r="D65" s="2" t="s">
        <v>377</v>
      </c>
      <c r="E65" s="2" t="s">
        <v>88</v>
      </c>
      <c r="F65" s="2" t="s">
        <v>101</v>
      </c>
      <c r="G65" s="2" t="s">
        <v>102</v>
      </c>
      <c r="H65" s="2" t="s">
        <v>103</v>
      </c>
      <c r="I65" s="2" t="s">
        <v>14</v>
      </c>
      <c r="J65" s="2" t="s">
        <v>119</v>
      </c>
      <c r="K65" s="2" t="s">
        <v>355</v>
      </c>
      <c r="L65" s="2"/>
      <c r="M65" s="2" t="s">
        <v>236</v>
      </c>
      <c r="N65" s="2" t="s">
        <v>160</v>
      </c>
      <c r="O65" s="2"/>
      <c r="P65" s="2" t="s">
        <v>55</v>
      </c>
      <c r="Q65" s="2"/>
      <c r="R65" s="2" t="s">
        <v>58</v>
      </c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 t="s">
        <v>378</v>
      </c>
      <c r="B66" s="2" t="s">
        <v>379</v>
      </c>
      <c r="C66" s="83">
        <v>44912.0</v>
      </c>
      <c r="D66" s="2" t="s">
        <v>380</v>
      </c>
      <c r="E66" s="2" t="s">
        <v>88</v>
      </c>
      <c r="F66" s="2" t="s">
        <v>156</v>
      </c>
      <c r="G66" s="2" t="s">
        <v>102</v>
      </c>
      <c r="H66" s="2" t="s">
        <v>135</v>
      </c>
      <c r="I66" s="2" t="s">
        <v>20</v>
      </c>
      <c r="J66" s="2" t="s">
        <v>92</v>
      </c>
      <c r="K66" s="2" t="s">
        <v>302</v>
      </c>
      <c r="L66" s="2"/>
      <c r="M66" s="2" t="s">
        <v>232</v>
      </c>
      <c r="N66" s="2" t="s">
        <v>225</v>
      </c>
      <c r="O66" s="2"/>
      <c r="P66" s="2" t="s">
        <v>381</v>
      </c>
      <c r="Q66" s="2"/>
      <c r="R66" s="2" t="s">
        <v>63</v>
      </c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 t="s">
        <v>382</v>
      </c>
      <c r="B67" s="2" t="s">
        <v>383</v>
      </c>
      <c r="C67" s="83">
        <v>45655.0</v>
      </c>
      <c r="D67" s="2" t="s">
        <v>384</v>
      </c>
      <c r="E67" s="2" t="s">
        <v>100</v>
      </c>
      <c r="F67" s="2" t="s">
        <v>101</v>
      </c>
      <c r="G67" s="2" t="s">
        <v>90</v>
      </c>
      <c r="H67" s="2" t="s">
        <v>118</v>
      </c>
      <c r="I67" s="2" t="s">
        <v>16</v>
      </c>
      <c r="J67" s="2" t="s">
        <v>127</v>
      </c>
      <c r="K67" s="2" t="s">
        <v>112</v>
      </c>
      <c r="L67" s="2"/>
      <c r="M67" s="2" t="s">
        <v>166</v>
      </c>
      <c r="N67" s="2" t="s">
        <v>271</v>
      </c>
      <c r="O67" s="83">
        <v>45810.0</v>
      </c>
      <c r="P67" s="2" t="s">
        <v>28</v>
      </c>
      <c r="Q67" s="2" t="s">
        <v>24</v>
      </c>
      <c r="R67" s="2" t="s">
        <v>58</v>
      </c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 t="s">
        <v>385</v>
      </c>
      <c r="B68" s="2" t="s">
        <v>386</v>
      </c>
      <c r="C68" s="83">
        <v>44896.0</v>
      </c>
      <c r="D68" s="2" t="s">
        <v>387</v>
      </c>
      <c r="E68" s="2" t="s">
        <v>100</v>
      </c>
      <c r="F68" s="2" t="s">
        <v>89</v>
      </c>
      <c r="G68" s="2" t="s">
        <v>102</v>
      </c>
      <c r="H68" s="2" t="s">
        <v>111</v>
      </c>
      <c r="I68" s="2" t="s">
        <v>14</v>
      </c>
      <c r="J68" s="2" t="s">
        <v>127</v>
      </c>
      <c r="K68" s="2" t="s">
        <v>355</v>
      </c>
      <c r="L68" s="2"/>
      <c r="M68" s="2" t="s">
        <v>236</v>
      </c>
      <c r="N68" s="2" t="s">
        <v>152</v>
      </c>
      <c r="O68" s="2"/>
      <c r="P68" s="2" t="s">
        <v>381</v>
      </c>
      <c r="Q68" s="2"/>
      <c r="R68" s="2" t="s">
        <v>63</v>
      </c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 t="s">
        <v>388</v>
      </c>
      <c r="B69" s="2" t="s">
        <v>389</v>
      </c>
      <c r="C69" s="83">
        <v>45508.0</v>
      </c>
      <c r="D69" s="2" t="s">
        <v>390</v>
      </c>
      <c r="E69" s="2" t="s">
        <v>88</v>
      </c>
      <c r="F69" s="2" t="s">
        <v>101</v>
      </c>
      <c r="G69" s="2" t="s">
        <v>102</v>
      </c>
      <c r="H69" s="2" t="s">
        <v>164</v>
      </c>
      <c r="I69" s="2" t="s">
        <v>14</v>
      </c>
      <c r="J69" s="2" t="s">
        <v>193</v>
      </c>
      <c r="K69" s="2" t="s">
        <v>355</v>
      </c>
      <c r="L69" s="2"/>
      <c r="M69" s="2" t="s">
        <v>173</v>
      </c>
      <c r="N69" s="2" t="s">
        <v>391</v>
      </c>
      <c r="O69" s="2"/>
      <c r="P69" s="2" t="s">
        <v>39</v>
      </c>
      <c r="Q69" s="2"/>
      <c r="R69" s="2" t="s">
        <v>61</v>
      </c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 t="s">
        <v>392</v>
      </c>
      <c r="B70" s="2" t="s">
        <v>393</v>
      </c>
      <c r="C70" s="83">
        <v>45339.0</v>
      </c>
      <c r="D70" s="2" t="s">
        <v>394</v>
      </c>
      <c r="E70" s="2" t="s">
        <v>100</v>
      </c>
      <c r="F70" s="2" t="s">
        <v>101</v>
      </c>
      <c r="G70" s="2" t="s">
        <v>90</v>
      </c>
      <c r="H70" s="2" t="s">
        <v>111</v>
      </c>
      <c r="I70" s="2" t="s">
        <v>21</v>
      </c>
      <c r="J70" s="2" t="s">
        <v>127</v>
      </c>
      <c r="K70" s="2" t="s">
        <v>104</v>
      </c>
      <c r="L70" s="2"/>
      <c r="M70" s="2" t="s">
        <v>395</v>
      </c>
      <c r="N70" s="2" t="s">
        <v>396</v>
      </c>
      <c r="O70" s="83">
        <v>45645.0</v>
      </c>
      <c r="P70" s="2" t="s">
        <v>10</v>
      </c>
      <c r="Q70" s="2" t="s">
        <v>28</v>
      </c>
      <c r="R70" s="2" t="s">
        <v>58</v>
      </c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 t="s">
        <v>397</v>
      </c>
      <c r="B71" s="2" t="s">
        <v>398</v>
      </c>
      <c r="C71" s="83">
        <v>45872.0</v>
      </c>
      <c r="D71" s="2" t="s">
        <v>399</v>
      </c>
      <c r="E71" s="2" t="s">
        <v>88</v>
      </c>
      <c r="F71" s="2" t="s">
        <v>101</v>
      </c>
      <c r="G71" s="2" t="s">
        <v>90</v>
      </c>
      <c r="H71" s="2" t="s">
        <v>164</v>
      </c>
      <c r="I71" s="2" t="s">
        <v>14</v>
      </c>
      <c r="J71" s="2" t="s">
        <v>157</v>
      </c>
      <c r="K71" s="2" t="s">
        <v>355</v>
      </c>
      <c r="L71" s="2"/>
      <c r="M71" s="2" t="s">
        <v>138</v>
      </c>
      <c r="N71" s="2" t="s">
        <v>122</v>
      </c>
      <c r="O71" s="83">
        <v>45946.0</v>
      </c>
      <c r="P71" s="2" t="s">
        <v>96</v>
      </c>
      <c r="Q71" s="2" t="s">
        <v>31</v>
      </c>
      <c r="R71" s="2" t="s">
        <v>58</v>
      </c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 t="s">
        <v>400</v>
      </c>
      <c r="B72" s="2" t="s">
        <v>401</v>
      </c>
      <c r="C72" s="83">
        <v>45702.0</v>
      </c>
      <c r="D72" s="2" t="s">
        <v>402</v>
      </c>
      <c r="E72" s="2" t="s">
        <v>100</v>
      </c>
      <c r="F72" s="2" t="s">
        <v>101</v>
      </c>
      <c r="G72" s="2" t="s">
        <v>102</v>
      </c>
      <c r="H72" s="2" t="s">
        <v>230</v>
      </c>
      <c r="I72" s="2" t="s">
        <v>17</v>
      </c>
      <c r="J72" s="2" t="s">
        <v>127</v>
      </c>
      <c r="K72" s="2" t="s">
        <v>297</v>
      </c>
      <c r="L72" s="2"/>
      <c r="M72" s="2" t="s">
        <v>173</v>
      </c>
      <c r="N72" s="2" t="s">
        <v>184</v>
      </c>
      <c r="O72" s="2"/>
      <c r="P72" s="2" t="s">
        <v>64</v>
      </c>
      <c r="Q72" s="2"/>
      <c r="R72" s="2" t="s">
        <v>58</v>
      </c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 t="s">
        <v>403</v>
      </c>
      <c r="B73" s="2" t="s">
        <v>404</v>
      </c>
      <c r="C73" s="83">
        <v>45011.0</v>
      </c>
      <c r="D73" s="2" t="s">
        <v>405</v>
      </c>
      <c r="E73" s="2" t="s">
        <v>88</v>
      </c>
      <c r="F73" s="2" t="s">
        <v>101</v>
      </c>
      <c r="G73" s="2" t="s">
        <v>90</v>
      </c>
      <c r="H73" s="2" t="s">
        <v>164</v>
      </c>
      <c r="I73" s="2" t="s">
        <v>21</v>
      </c>
      <c r="J73" s="2" t="s">
        <v>193</v>
      </c>
      <c r="K73" s="2" t="s">
        <v>93</v>
      </c>
      <c r="L73" s="2"/>
      <c r="M73" s="2" t="s">
        <v>105</v>
      </c>
      <c r="N73" s="2" t="s">
        <v>106</v>
      </c>
      <c r="O73" s="83">
        <v>45742.0</v>
      </c>
      <c r="P73" s="2" t="s">
        <v>249</v>
      </c>
      <c r="Q73" s="2" t="s">
        <v>47</v>
      </c>
      <c r="R73" s="2" t="s">
        <v>63</v>
      </c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 t="s">
        <v>406</v>
      </c>
      <c r="B74" s="2" t="s">
        <v>407</v>
      </c>
      <c r="C74" s="83">
        <v>45226.0</v>
      </c>
      <c r="D74" s="2" t="s">
        <v>408</v>
      </c>
      <c r="E74" s="2" t="s">
        <v>88</v>
      </c>
      <c r="F74" s="2" t="s">
        <v>101</v>
      </c>
      <c r="G74" s="2" t="s">
        <v>102</v>
      </c>
      <c r="H74" s="2" t="s">
        <v>135</v>
      </c>
      <c r="I74" s="2" t="s">
        <v>16</v>
      </c>
      <c r="J74" s="2" t="s">
        <v>136</v>
      </c>
      <c r="K74" s="2" t="s">
        <v>201</v>
      </c>
      <c r="L74" s="2"/>
      <c r="M74" s="2" t="s">
        <v>105</v>
      </c>
      <c r="N74" s="2" t="s">
        <v>212</v>
      </c>
      <c r="O74" s="2"/>
      <c r="P74" s="2" t="s">
        <v>35</v>
      </c>
      <c r="Q74" s="2"/>
      <c r="R74" s="2" t="s">
        <v>61</v>
      </c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 t="s">
        <v>409</v>
      </c>
      <c r="B75" s="2" t="s">
        <v>410</v>
      </c>
      <c r="C75" s="83">
        <v>44676.0</v>
      </c>
      <c r="D75" s="2" t="s">
        <v>411</v>
      </c>
      <c r="E75" s="2" t="s">
        <v>100</v>
      </c>
      <c r="F75" s="2" t="s">
        <v>101</v>
      </c>
      <c r="G75" s="2" t="s">
        <v>90</v>
      </c>
      <c r="H75" s="2" t="s">
        <v>135</v>
      </c>
      <c r="I75" s="2" t="s">
        <v>20</v>
      </c>
      <c r="J75" s="2" t="s">
        <v>157</v>
      </c>
      <c r="K75" s="2" t="s">
        <v>120</v>
      </c>
      <c r="L75" s="2"/>
      <c r="M75" s="2" t="s">
        <v>236</v>
      </c>
      <c r="N75" s="2" t="s">
        <v>144</v>
      </c>
      <c r="O75" s="83">
        <v>45175.0</v>
      </c>
      <c r="P75" s="2" t="s">
        <v>320</v>
      </c>
      <c r="Q75" s="2" t="s">
        <v>27</v>
      </c>
      <c r="R75" s="2" t="s">
        <v>61</v>
      </c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 t="s">
        <v>412</v>
      </c>
      <c r="B76" s="2" t="s">
        <v>413</v>
      </c>
      <c r="C76" s="83">
        <v>44627.0</v>
      </c>
      <c r="D76" s="2" t="s">
        <v>414</v>
      </c>
      <c r="E76" s="2" t="s">
        <v>100</v>
      </c>
      <c r="F76" s="2" t="s">
        <v>101</v>
      </c>
      <c r="G76" s="2" t="s">
        <v>90</v>
      </c>
      <c r="H76" s="2" t="s">
        <v>111</v>
      </c>
      <c r="I76" s="2" t="s">
        <v>14</v>
      </c>
      <c r="J76" s="2" t="s">
        <v>92</v>
      </c>
      <c r="K76" s="2" t="s">
        <v>292</v>
      </c>
      <c r="L76" s="2"/>
      <c r="M76" s="2" t="s">
        <v>94</v>
      </c>
      <c r="N76" s="2" t="s">
        <v>114</v>
      </c>
      <c r="O76" s="83">
        <v>45303.0</v>
      </c>
      <c r="P76" s="2" t="s">
        <v>168</v>
      </c>
      <c r="Q76" s="2" t="s">
        <v>23</v>
      </c>
      <c r="R76" s="2" t="s">
        <v>61</v>
      </c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 t="s">
        <v>415</v>
      </c>
      <c r="B77" s="2" t="s">
        <v>416</v>
      </c>
      <c r="C77" s="83">
        <v>45383.0</v>
      </c>
      <c r="D77" s="2" t="s">
        <v>417</v>
      </c>
      <c r="E77" s="2" t="s">
        <v>88</v>
      </c>
      <c r="F77" s="2" t="s">
        <v>101</v>
      </c>
      <c r="G77" s="2" t="s">
        <v>102</v>
      </c>
      <c r="H77" s="2" t="s">
        <v>149</v>
      </c>
      <c r="I77" s="2" t="s">
        <v>15</v>
      </c>
      <c r="J77" s="2" t="s">
        <v>136</v>
      </c>
      <c r="K77" s="2" t="s">
        <v>137</v>
      </c>
      <c r="L77" s="2"/>
      <c r="M77" s="2" t="s">
        <v>138</v>
      </c>
      <c r="N77" s="2" t="s">
        <v>139</v>
      </c>
      <c r="O77" s="2"/>
      <c r="P77" s="2" t="s">
        <v>45</v>
      </c>
      <c r="Q77" s="2"/>
      <c r="R77" s="2" t="s">
        <v>61</v>
      </c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 t="s">
        <v>418</v>
      </c>
      <c r="B78" s="2" t="s">
        <v>419</v>
      </c>
      <c r="C78" s="83">
        <v>45110.0</v>
      </c>
      <c r="D78" s="2" t="s">
        <v>420</v>
      </c>
      <c r="E78" s="2" t="s">
        <v>88</v>
      </c>
      <c r="F78" s="2" t="s">
        <v>200</v>
      </c>
      <c r="G78" s="2" t="s">
        <v>90</v>
      </c>
      <c r="H78" s="2" t="s">
        <v>164</v>
      </c>
      <c r="I78" s="2" t="s">
        <v>15</v>
      </c>
      <c r="J78" s="2" t="s">
        <v>127</v>
      </c>
      <c r="K78" s="2" t="s">
        <v>260</v>
      </c>
      <c r="L78" s="2"/>
      <c r="M78" s="2" t="s">
        <v>173</v>
      </c>
      <c r="N78" s="2" t="s">
        <v>293</v>
      </c>
      <c r="O78" s="83">
        <v>45207.0</v>
      </c>
      <c r="P78" s="2" t="s">
        <v>57</v>
      </c>
      <c r="Q78" s="2" t="s">
        <v>35</v>
      </c>
      <c r="R78" s="2" t="s">
        <v>58</v>
      </c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 t="s">
        <v>421</v>
      </c>
      <c r="B79" s="2" t="s">
        <v>422</v>
      </c>
      <c r="C79" s="83">
        <v>44994.0</v>
      </c>
      <c r="D79" s="2" t="s">
        <v>423</v>
      </c>
      <c r="E79" s="2" t="s">
        <v>88</v>
      </c>
      <c r="F79" s="2" t="s">
        <v>101</v>
      </c>
      <c r="G79" s="2" t="s">
        <v>90</v>
      </c>
      <c r="H79" s="2" t="s">
        <v>118</v>
      </c>
      <c r="I79" s="2" t="s">
        <v>14</v>
      </c>
      <c r="J79" s="2" t="s">
        <v>92</v>
      </c>
      <c r="K79" s="2" t="s">
        <v>355</v>
      </c>
      <c r="L79" s="2"/>
      <c r="M79" s="2" t="s">
        <v>129</v>
      </c>
      <c r="N79" s="2" t="s">
        <v>184</v>
      </c>
      <c r="O79" s="83">
        <v>45604.0</v>
      </c>
      <c r="P79" s="2" t="s">
        <v>249</v>
      </c>
      <c r="Q79" s="2" t="s">
        <v>12</v>
      </c>
      <c r="R79" s="2" t="s">
        <v>61</v>
      </c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 t="s">
        <v>424</v>
      </c>
      <c r="B80" s="2" t="s">
        <v>425</v>
      </c>
      <c r="C80" s="83">
        <v>45206.0</v>
      </c>
      <c r="D80" s="2" t="s">
        <v>426</v>
      </c>
      <c r="E80" s="2" t="s">
        <v>88</v>
      </c>
      <c r="F80" s="2" t="s">
        <v>101</v>
      </c>
      <c r="G80" s="2" t="s">
        <v>102</v>
      </c>
      <c r="H80" s="2" t="s">
        <v>164</v>
      </c>
      <c r="I80" s="2" t="s">
        <v>14</v>
      </c>
      <c r="J80" s="2" t="s">
        <v>157</v>
      </c>
      <c r="K80" s="2" t="s">
        <v>355</v>
      </c>
      <c r="L80" s="2"/>
      <c r="M80" s="2" t="s">
        <v>94</v>
      </c>
      <c r="N80" s="2" t="s">
        <v>114</v>
      </c>
      <c r="O80" s="2"/>
      <c r="P80" s="2" t="s">
        <v>35</v>
      </c>
      <c r="Q80" s="2"/>
      <c r="R80" s="2" t="s">
        <v>63</v>
      </c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 t="s">
        <v>427</v>
      </c>
      <c r="B81" s="2" t="s">
        <v>428</v>
      </c>
      <c r="C81" s="83">
        <v>44997.0</v>
      </c>
      <c r="D81" s="2" t="s">
        <v>429</v>
      </c>
      <c r="E81" s="2" t="s">
        <v>88</v>
      </c>
      <c r="F81" s="2" t="s">
        <v>101</v>
      </c>
      <c r="G81" s="2" t="s">
        <v>90</v>
      </c>
      <c r="H81" s="2" t="s">
        <v>91</v>
      </c>
      <c r="I81" s="2" t="s">
        <v>17</v>
      </c>
      <c r="J81" s="2" t="s">
        <v>136</v>
      </c>
      <c r="K81" s="2" t="s">
        <v>278</v>
      </c>
      <c r="L81" s="2"/>
      <c r="M81" s="2" t="s">
        <v>430</v>
      </c>
      <c r="N81" s="2" t="s">
        <v>179</v>
      </c>
      <c r="O81" s="83">
        <v>45698.0</v>
      </c>
      <c r="P81" s="2" t="s">
        <v>249</v>
      </c>
      <c r="Q81" s="2" t="s">
        <v>64</v>
      </c>
      <c r="R81" s="2" t="s">
        <v>61</v>
      </c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 t="s">
        <v>431</v>
      </c>
      <c r="B82" s="2" t="s">
        <v>432</v>
      </c>
      <c r="C82" s="83">
        <v>45584.0</v>
      </c>
      <c r="D82" s="2" t="s">
        <v>433</v>
      </c>
      <c r="E82" s="2" t="s">
        <v>88</v>
      </c>
      <c r="F82" s="2" t="s">
        <v>101</v>
      </c>
      <c r="G82" s="2" t="s">
        <v>102</v>
      </c>
      <c r="H82" s="2" t="s">
        <v>164</v>
      </c>
      <c r="I82" s="2" t="s">
        <v>14</v>
      </c>
      <c r="J82" s="2" t="s">
        <v>136</v>
      </c>
      <c r="K82" s="2" t="s">
        <v>165</v>
      </c>
      <c r="L82" s="2"/>
      <c r="M82" s="2" t="s">
        <v>430</v>
      </c>
      <c r="N82" s="2" t="s">
        <v>95</v>
      </c>
      <c r="O82" s="2"/>
      <c r="P82" s="2" t="s">
        <v>30</v>
      </c>
      <c r="Q82" s="2"/>
      <c r="R82" s="2" t="s">
        <v>58</v>
      </c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 t="s">
        <v>434</v>
      </c>
      <c r="B83" s="2" t="s">
        <v>435</v>
      </c>
      <c r="C83" s="83">
        <v>45372.0</v>
      </c>
      <c r="D83" s="2" t="s">
        <v>436</v>
      </c>
      <c r="E83" s="2" t="s">
        <v>88</v>
      </c>
      <c r="F83" s="2" t="s">
        <v>101</v>
      </c>
      <c r="G83" s="2" t="s">
        <v>102</v>
      </c>
      <c r="H83" s="2" t="s">
        <v>91</v>
      </c>
      <c r="I83" s="2" t="s">
        <v>15</v>
      </c>
      <c r="J83" s="2" t="s">
        <v>136</v>
      </c>
      <c r="K83" s="2" t="s">
        <v>137</v>
      </c>
      <c r="L83" s="2"/>
      <c r="M83" s="2" t="s">
        <v>173</v>
      </c>
      <c r="N83" s="2" t="s">
        <v>144</v>
      </c>
      <c r="O83" s="2"/>
      <c r="P83" s="2" t="s">
        <v>38</v>
      </c>
      <c r="Q83" s="2"/>
      <c r="R83" s="2" t="s">
        <v>61</v>
      </c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 t="s">
        <v>437</v>
      </c>
      <c r="B84" s="2" t="s">
        <v>438</v>
      </c>
      <c r="C84" s="83">
        <v>45878.0</v>
      </c>
      <c r="D84" s="2" t="s">
        <v>439</v>
      </c>
      <c r="E84" s="2" t="s">
        <v>88</v>
      </c>
      <c r="F84" s="2" t="s">
        <v>156</v>
      </c>
      <c r="G84" s="2" t="s">
        <v>102</v>
      </c>
      <c r="H84" s="2" t="s">
        <v>91</v>
      </c>
      <c r="I84" s="2" t="s">
        <v>14</v>
      </c>
      <c r="J84" s="2" t="s">
        <v>119</v>
      </c>
      <c r="K84" s="2" t="s">
        <v>292</v>
      </c>
      <c r="L84" s="2"/>
      <c r="M84" s="2" t="s">
        <v>279</v>
      </c>
      <c r="N84" s="2" t="s">
        <v>144</v>
      </c>
      <c r="O84" s="2"/>
      <c r="P84" s="2" t="s">
        <v>96</v>
      </c>
      <c r="Q84" s="2"/>
      <c r="R84" s="2" t="s">
        <v>58</v>
      </c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 t="s">
        <v>440</v>
      </c>
      <c r="B85" s="2" t="s">
        <v>441</v>
      </c>
      <c r="C85" s="83">
        <v>45501.0</v>
      </c>
      <c r="D85" s="2" t="s">
        <v>442</v>
      </c>
      <c r="E85" s="2" t="s">
        <v>100</v>
      </c>
      <c r="F85" s="2" t="s">
        <v>101</v>
      </c>
      <c r="G85" s="2" t="s">
        <v>102</v>
      </c>
      <c r="H85" s="2" t="s">
        <v>118</v>
      </c>
      <c r="I85" s="2" t="s">
        <v>14</v>
      </c>
      <c r="J85" s="2" t="s">
        <v>193</v>
      </c>
      <c r="K85" s="2" t="s">
        <v>165</v>
      </c>
      <c r="L85" s="2"/>
      <c r="M85" s="2" t="s">
        <v>236</v>
      </c>
      <c r="N85" s="2" t="s">
        <v>195</v>
      </c>
      <c r="O85" s="2"/>
      <c r="P85" s="2" t="s">
        <v>34</v>
      </c>
      <c r="Q85" s="2"/>
      <c r="R85" s="2" t="s">
        <v>61</v>
      </c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 t="s">
        <v>443</v>
      </c>
      <c r="B86" s="2" t="s">
        <v>444</v>
      </c>
      <c r="C86" s="83">
        <v>44854.0</v>
      </c>
      <c r="D86" s="2" t="s">
        <v>445</v>
      </c>
      <c r="E86" s="2" t="s">
        <v>88</v>
      </c>
      <c r="F86" s="2" t="s">
        <v>101</v>
      </c>
      <c r="G86" s="2" t="s">
        <v>102</v>
      </c>
      <c r="H86" s="2" t="s">
        <v>91</v>
      </c>
      <c r="I86" s="2" t="s">
        <v>16</v>
      </c>
      <c r="J86" s="2" t="s">
        <v>127</v>
      </c>
      <c r="K86" s="2" t="s">
        <v>112</v>
      </c>
      <c r="L86" s="2"/>
      <c r="M86" s="2" t="s">
        <v>105</v>
      </c>
      <c r="N86" s="2" t="s">
        <v>167</v>
      </c>
      <c r="O86" s="2"/>
      <c r="P86" s="2" t="s">
        <v>131</v>
      </c>
      <c r="Q86" s="2"/>
      <c r="R86" s="2" t="s">
        <v>63</v>
      </c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 t="s">
        <v>446</v>
      </c>
      <c r="B87" s="2" t="s">
        <v>447</v>
      </c>
      <c r="C87" s="83">
        <v>45104.0</v>
      </c>
      <c r="D87" s="2" t="s">
        <v>448</v>
      </c>
      <c r="E87" s="2" t="s">
        <v>100</v>
      </c>
      <c r="F87" s="2" t="s">
        <v>101</v>
      </c>
      <c r="G87" s="2" t="s">
        <v>90</v>
      </c>
      <c r="H87" s="2" t="s">
        <v>230</v>
      </c>
      <c r="I87" s="2" t="s">
        <v>14</v>
      </c>
      <c r="J87" s="2" t="s">
        <v>119</v>
      </c>
      <c r="K87" s="2" t="s">
        <v>292</v>
      </c>
      <c r="L87" s="2"/>
      <c r="M87" s="2" t="s">
        <v>395</v>
      </c>
      <c r="N87" s="2" t="s">
        <v>179</v>
      </c>
      <c r="O87" s="83">
        <v>45276.0</v>
      </c>
      <c r="P87" s="2" t="s">
        <v>50</v>
      </c>
      <c r="Q87" s="2" t="s">
        <v>65</v>
      </c>
      <c r="R87" s="2" t="s">
        <v>58</v>
      </c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 t="s">
        <v>449</v>
      </c>
      <c r="B88" s="2" t="s">
        <v>450</v>
      </c>
      <c r="C88" s="83">
        <v>45067.0</v>
      </c>
      <c r="D88" s="2" t="s">
        <v>451</v>
      </c>
      <c r="E88" s="2" t="s">
        <v>88</v>
      </c>
      <c r="F88" s="2" t="s">
        <v>101</v>
      </c>
      <c r="G88" s="2" t="s">
        <v>102</v>
      </c>
      <c r="H88" s="2" t="s">
        <v>111</v>
      </c>
      <c r="I88" s="2" t="s">
        <v>21</v>
      </c>
      <c r="J88" s="2" t="s">
        <v>193</v>
      </c>
      <c r="K88" s="2" t="s">
        <v>223</v>
      </c>
      <c r="L88" s="2"/>
      <c r="M88" s="2" t="s">
        <v>279</v>
      </c>
      <c r="N88" s="2" t="s">
        <v>342</v>
      </c>
      <c r="O88" s="2"/>
      <c r="P88" s="2" t="s">
        <v>123</v>
      </c>
      <c r="Q88" s="2"/>
      <c r="R88" s="2" t="s">
        <v>63</v>
      </c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 t="s">
        <v>452</v>
      </c>
      <c r="B89" s="2" t="s">
        <v>453</v>
      </c>
      <c r="C89" s="83">
        <v>45711.0</v>
      </c>
      <c r="D89" s="2" t="s">
        <v>454</v>
      </c>
      <c r="E89" s="2" t="s">
        <v>100</v>
      </c>
      <c r="F89" s="2" t="s">
        <v>101</v>
      </c>
      <c r="G89" s="2" t="s">
        <v>102</v>
      </c>
      <c r="H89" s="2" t="s">
        <v>135</v>
      </c>
      <c r="I89" s="2" t="s">
        <v>14</v>
      </c>
      <c r="J89" s="2" t="s">
        <v>193</v>
      </c>
      <c r="K89" s="2" t="s">
        <v>165</v>
      </c>
      <c r="L89" s="2"/>
      <c r="M89" s="2" t="s">
        <v>138</v>
      </c>
      <c r="N89" s="2" t="s">
        <v>225</v>
      </c>
      <c r="O89" s="2"/>
      <c r="P89" s="2" t="s">
        <v>64</v>
      </c>
      <c r="Q89" s="2"/>
      <c r="R89" s="2" t="s">
        <v>58</v>
      </c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 t="s">
        <v>455</v>
      </c>
      <c r="B90" s="2" t="s">
        <v>456</v>
      </c>
      <c r="C90" s="83">
        <v>45665.0</v>
      </c>
      <c r="D90" s="2" t="s">
        <v>457</v>
      </c>
      <c r="E90" s="2" t="s">
        <v>100</v>
      </c>
      <c r="F90" s="2" t="s">
        <v>101</v>
      </c>
      <c r="G90" s="2" t="s">
        <v>90</v>
      </c>
      <c r="H90" s="2" t="s">
        <v>118</v>
      </c>
      <c r="I90" s="2" t="s">
        <v>19</v>
      </c>
      <c r="J90" s="2" t="s">
        <v>119</v>
      </c>
      <c r="K90" s="2" t="s">
        <v>231</v>
      </c>
      <c r="L90" s="2"/>
      <c r="M90" s="2" t="s">
        <v>270</v>
      </c>
      <c r="N90" s="2" t="s">
        <v>212</v>
      </c>
      <c r="O90" s="83">
        <v>45762.0</v>
      </c>
      <c r="P90" s="2" t="s">
        <v>60</v>
      </c>
      <c r="Q90" s="2" t="s">
        <v>46</v>
      </c>
      <c r="R90" s="2" t="s">
        <v>58</v>
      </c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 t="s">
        <v>458</v>
      </c>
      <c r="B91" s="2" t="s">
        <v>459</v>
      </c>
      <c r="C91" s="83">
        <v>45759.0</v>
      </c>
      <c r="D91" s="2" t="s">
        <v>460</v>
      </c>
      <c r="E91" s="2" t="s">
        <v>100</v>
      </c>
      <c r="F91" s="2" t="s">
        <v>101</v>
      </c>
      <c r="G91" s="2" t="s">
        <v>102</v>
      </c>
      <c r="H91" s="2" t="s">
        <v>111</v>
      </c>
      <c r="I91" s="2" t="s">
        <v>15</v>
      </c>
      <c r="J91" s="2" t="s">
        <v>119</v>
      </c>
      <c r="K91" s="2" t="s">
        <v>137</v>
      </c>
      <c r="L91" s="2"/>
      <c r="M91" s="2" t="s">
        <v>105</v>
      </c>
      <c r="N91" s="2" t="s">
        <v>293</v>
      </c>
      <c r="O91" s="2"/>
      <c r="P91" s="2" t="s">
        <v>46</v>
      </c>
      <c r="Q91" s="2"/>
      <c r="R91" s="2" t="s">
        <v>58</v>
      </c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 t="s">
        <v>461</v>
      </c>
      <c r="B92" s="2" t="s">
        <v>462</v>
      </c>
      <c r="C92" s="83">
        <v>45439.0</v>
      </c>
      <c r="D92" s="2" t="s">
        <v>463</v>
      </c>
      <c r="E92" s="2" t="s">
        <v>88</v>
      </c>
      <c r="F92" s="2" t="s">
        <v>101</v>
      </c>
      <c r="G92" s="2" t="s">
        <v>90</v>
      </c>
      <c r="H92" s="2" t="s">
        <v>164</v>
      </c>
      <c r="I92" s="2" t="s">
        <v>15</v>
      </c>
      <c r="J92" s="2" t="s">
        <v>92</v>
      </c>
      <c r="K92" s="2" t="s">
        <v>143</v>
      </c>
      <c r="L92" s="2"/>
      <c r="M92" s="2" t="s">
        <v>173</v>
      </c>
      <c r="N92" s="2" t="s">
        <v>160</v>
      </c>
      <c r="O92" s="83">
        <v>45928.0</v>
      </c>
      <c r="P92" s="2" t="s">
        <v>26</v>
      </c>
      <c r="Q92" s="2" t="s">
        <v>11</v>
      </c>
      <c r="R92" s="2" t="s">
        <v>61</v>
      </c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 t="s">
        <v>464</v>
      </c>
      <c r="B93" s="2" t="s">
        <v>465</v>
      </c>
      <c r="C93" s="83">
        <v>45757.0</v>
      </c>
      <c r="D93" s="2" t="s">
        <v>466</v>
      </c>
      <c r="E93" s="2" t="s">
        <v>100</v>
      </c>
      <c r="F93" s="2" t="s">
        <v>101</v>
      </c>
      <c r="G93" s="2" t="s">
        <v>102</v>
      </c>
      <c r="H93" s="2" t="s">
        <v>111</v>
      </c>
      <c r="I93" s="2" t="s">
        <v>15</v>
      </c>
      <c r="J93" s="2" t="s">
        <v>136</v>
      </c>
      <c r="K93" s="2" t="s">
        <v>137</v>
      </c>
      <c r="L93" s="2"/>
      <c r="M93" s="2" t="s">
        <v>194</v>
      </c>
      <c r="N93" s="2" t="s">
        <v>293</v>
      </c>
      <c r="O93" s="2"/>
      <c r="P93" s="2" t="s">
        <v>46</v>
      </c>
      <c r="Q93" s="2"/>
      <c r="R93" s="2" t="s">
        <v>58</v>
      </c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 t="s">
        <v>467</v>
      </c>
      <c r="B94" s="2" t="s">
        <v>468</v>
      </c>
      <c r="C94" s="83">
        <v>45379.0</v>
      </c>
      <c r="D94" s="2" t="s">
        <v>469</v>
      </c>
      <c r="E94" s="2" t="s">
        <v>88</v>
      </c>
      <c r="F94" s="2" t="s">
        <v>101</v>
      </c>
      <c r="G94" s="2" t="s">
        <v>102</v>
      </c>
      <c r="H94" s="2" t="s">
        <v>135</v>
      </c>
      <c r="I94" s="2" t="s">
        <v>19</v>
      </c>
      <c r="J94" s="2" t="s">
        <v>136</v>
      </c>
      <c r="K94" s="2" t="s">
        <v>231</v>
      </c>
      <c r="L94" s="2"/>
      <c r="M94" s="2" t="s">
        <v>138</v>
      </c>
      <c r="N94" s="2" t="s">
        <v>95</v>
      </c>
      <c r="O94" s="2"/>
      <c r="P94" s="2" t="s">
        <v>38</v>
      </c>
      <c r="Q94" s="2"/>
      <c r="R94" s="2" t="s">
        <v>61</v>
      </c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 t="s">
        <v>470</v>
      </c>
      <c r="B95" s="2" t="s">
        <v>471</v>
      </c>
      <c r="C95" s="83">
        <v>45303.0</v>
      </c>
      <c r="D95" s="2" t="s">
        <v>472</v>
      </c>
      <c r="E95" s="2" t="s">
        <v>100</v>
      </c>
      <c r="F95" s="2" t="s">
        <v>101</v>
      </c>
      <c r="G95" s="2" t="s">
        <v>102</v>
      </c>
      <c r="H95" s="2" t="s">
        <v>230</v>
      </c>
      <c r="I95" s="2" t="s">
        <v>14</v>
      </c>
      <c r="J95" s="2" t="s">
        <v>92</v>
      </c>
      <c r="K95" s="2" t="s">
        <v>355</v>
      </c>
      <c r="L95" s="2"/>
      <c r="M95" s="2" t="s">
        <v>279</v>
      </c>
      <c r="N95" s="2" t="s">
        <v>152</v>
      </c>
      <c r="O95" s="2"/>
      <c r="P95" s="2" t="s">
        <v>23</v>
      </c>
      <c r="Q95" s="2"/>
      <c r="R95" s="2" t="s">
        <v>61</v>
      </c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 t="s">
        <v>473</v>
      </c>
      <c r="B96" s="2" t="s">
        <v>474</v>
      </c>
      <c r="C96" s="83">
        <v>45011.0</v>
      </c>
      <c r="D96" s="2" t="s">
        <v>475</v>
      </c>
      <c r="E96" s="2" t="s">
        <v>100</v>
      </c>
      <c r="F96" s="2" t="s">
        <v>101</v>
      </c>
      <c r="G96" s="2" t="s">
        <v>102</v>
      </c>
      <c r="H96" s="2" t="s">
        <v>164</v>
      </c>
      <c r="I96" s="2" t="s">
        <v>15</v>
      </c>
      <c r="J96" s="2" t="s">
        <v>136</v>
      </c>
      <c r="K96" s="2" t="s">
        <v>143</v>
      </c>
      <c r="L96" s="2"/>
      <c r="M96" s="2" t="s">
        <v>270</v>
      </c>
      <c r="N96" s="2" t="s">
        <v>212</v>
      </c>
      <c r="O96" s="2"/>
      <c r="P96" s="2" t="s">
        <v>249</v>
      </c>
      <c r="Q96" s="2"/>
      <c r="R96" s="2" t="s">
        <v>63</v>
      </c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 t="s">
        <v>476</v>
      </c>
      <c r="B97" s="2" t="s">
        <v>477</v>
      </c>
      <c r="C97" s="83">
        <v>44845.0</v>
      </c>
      <c r="D97" s="2" t="s">
        <v>478</v>
      </c>
      <c r="E97" s="2" t="s">
        <v>88</v>
      </c>
      <c r="F97" s="2" t="s">
        <v>200</v>
      </c>
      <c r="G97" s="2" t="s">
        <v>102</v>
      </c>
      <c r="H97" s="2" t="s">
        <v>135</v>
      </c>
      <c r="I97" s="2" t="s">
        <v>16</v>
      </c>
      <c r="J97" s="2" t="s">
        <v>92</v>
      </c>
      <c r="K97" s="2" t="s">
        <v>112</v>
      </c>
      <c r="L97" s="2"/>
      <c r="M97" s="2" t="s">
        <v>121</v>
      </c>
      <c r="N97" s="2" t="s">
        <v>391</v>
      </c>
      <c r="O97" s="2"/>
      <c r="P97" s="2" t="s">
        <v>131</v>
      </c>
      <c r="Q97" s="2"/>
      <c r="R97" s="2" t="s">
        <v>63</v>
      </c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 t="s">
        <v>479</v>
      </c>
      <c r="B98" s="2" t="s">
        <v>480</v>
      </c>
      <c r="C98" s="83">
        <v>45605.0</v>
      </c>
      <c r="D98" s="2" t="s">
        <v>481</v>
      </c>
      <c r="E98" s="2" t="s">
        <v>100</v>
      </c>
      <c r="F98" s="2" t="s">
        <v>101</v>
      </c>
      <c r="G98" s="2" t="s">
        <v>102</v>
      </c>
      <c r="H98" s="2" t="s">
        <v>118</v>
      </c>
      <c r="I98" s="2" t="s">
        <v>16</v>
      </c>
      <c r="J98" s="2" t="s">
        <v>92</v>
      </c>
      <c r="K98" s="2" t="s">
        <v>201</v>
      </c>
      <c r="L98" s="2"/>
      <c r="M98" s="2" t="s">
        <v>279</v>
      </c>
      <c r="N98" s="2" t="s">
        <v>391</v>
      </c>
      <c r="O98" s="2"/>
      <c r="P98" s="2" t="s">
        <v>12</v>
      </c>
      <c r="Q98" s="2"/>
      <c r="R98" s="2" t="s">
        <v>58</v>
      </c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 t="s">
        <v>482</v>
      </c>
      <c r="B99" s="2" t="s">
        <v>483</v>
      </c>
      <c r="C99" s="83">
        <v>45572.0</v>
      </c>
      <c r="D99" s="2" t="s">
        <v>484</v>
      </c>
      <c r="E99" s="2" t="s">
        <v>100</v>
      </c>
      <c r="F99" s="2" t="s">
        <v>101</v>
      </c>
      <c r="G99" s="2" t="s">
        <v>102</v>
      </c>
      <c r="H99" s="2" t="s">
        <v>91</v>
      </c>
      <c r="I99" s="2" t="s">
        <v>17</v>
      </c>
      <c r="J99" s="2" t="s">
        <v>193</v>
      </c>
      <c r="K99" s="2" t="s">
        <v>278</v>
      </c>
      <c r="L99" s="2"/>
      <c r="M99" s="2" t="s">
        <v>173</v>
      </c>
      <c r="N99" s="2" t="s">
        <v>144</v>
      </c>
      <c r="O99" s="2"/>
      <c r="P99" s="2" t="s">
        <v>30</v>
      </c>
      <c r="Q99" s="2"/>
      <c r="R99" s="2" t="s">
        <v>61</v>
      </c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 t="s">
        <v>485</v>
      </c>
      <c r="B100" s="2" t="s">
        <v>486</v>
      </c>
      <c r="C100" s="83">
        <v>44748.0</v>
      </c>
      <c r="D100" s="2" t="s">
        <v>487</v>
      </c>
      <c r="E100" s="2" t="s">
        <v>88</v>
      </c>
      <c r="F100" s="2" t="s">
        <v>156</v>
      </c>
      <c r="G100" s="2" t="s">
        <v>102</v>
      </c>
      <c r="H100" s="2" t="s">
        <v>149</v>
      </c>
      <c r="I100" s="2" t="s">
        <v>14</v>
      </c>
      <c r="J100" s="2" t="s">
        <v>92</v>
      </c>
      <c r="K100" s="2" t="s">
        <v>208</v>
      </c>
      <c r="L100" s="2"/>
      <c r="M100" s="2" t="s">
        <v>138</v>
      </c>
      <c r="N100" s="2" t="s">
        <v>167</v>
      </c>
      <c r="O100" s="2"/>
      <c r="P100" s="2" t="s">
        <v>175</v>
      </c>
      <c r="Q100" s="2"/>
      <c r="R100" s="2" t="s">
        <v>63</v>
      </c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 t="s">
        <v>488</v>
      </c>
      <c r="B101" s="2" t="s">
        <v>489</v>
      </c>
      <c r="C101" s="83">
        <v>44658.0</v>
      </c>
      <c r="D101" s="2" t="s">
        <v>490</v>
      </c>
      <c r="E101" s="2" t="s">
        <v>88</v>
      </c>
      <c r="F101" s="2" t="s">
        <v>101</v>
      </c>
      <c r="G101" s="2" t="s">
        <v>102</v>
      </c>
      <c r="H101" s="2" t="s">
        <v>164</v>
      </c>
      <c r="I101" s="2" t="s">
        <v>17</v>
      </c>
      <c r="J101" s="2" t="s">
        <v>136</v>
      </c>
      <c r="K101" s="2" t="s">
        <v>297</v>
      </c>
      <c r="L101" s="2"/>
      <c r="M101" s="2" t="s">
        <v>94</v>
      </c>
      <c r="N101" s="2" t="s">
        <v>167</v>
      </c>
      <c r="O101" s="2"/>
      <c r="P101" s="2" t="s">
        <v>320</v>
      </c>
      <c r="Q101" s="2"/>
      <c r="R101" s="2" t="s">
        <v>63</v>
      </c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 t="s">
        <v>491</v>
      </c>
      <c r="B102" s="2" t="s">
        <v>492</v>
      </c>
      <c r="C102" s="83">
        <v>44786.0</v>
      </c>
      <c r="D102" s="2" t="s">
        <v>493</v>
      </c>
      <c r="E102" s="2" t="s">
        <v>100</v>
      </c>
      <c r="F102" s="2" t="s">
        <v>89</v>
      </c>
      <c r="G102" s="2" t="s">
        <v>90</v>
      </c>
      <c r="H102" s="2" t="s">
        <v>135</v>
      </c>
      <c r="I102" s="2" t="s">
        <v>16</v>
      </c>
      <c r="J102" s="2" t="s">
        <v>127</v>
      </c>
      <c r="K102" s="2" t="s">
        <v>112</v>
      </c>
      <c r="L102" s="2"/>
      <c r="M102" s="2" t="s">
        <v>189</v>
      </c>
      <c r="N102" s="2" t="s">
        <v>303</v>
      </c>
      <c r="O102" s="83">
        <v>45129.0</v>
      </c>
      <c r="P102" s="2" t="s">
        <v>494</v>
      </c>
      <c r="Q102" s="2" t="s">
        <v>57</v>
      </c>
      <c r="R102" s="2" t="s">
        <v>58</v>
      </c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 t="s">
        <v>495</v>
      </c>
      <c r="B103" s="2" t="s">
        <v>496</v>
      </c>
      <c r="C103" s="83">
        <v>45847.0</v>
      </c>
      <c r="D103" s="2" t="s">
        <v>497</v>
      </c>
      <c r="E103" s="2" t="s">
        <v>88</v>
      </c>
      <c r="F103" s="2" t="s">
        <v>101</v>
      </c>
      <c r="G103" s="2" t="s">
        <v>102</v>
      </c>
      <c r="H103" s="2" t="s">
        <v>135</v>
      </c>
      <c r="I103" s="2" t="s">
        <v>14</v>
      </c>
      <c r="J103" s="2" t="s">
        <v>136</v>
      </c>
      <c r="K103" s="2" t="s">
        <v>208</v>
      </c>
      <c r="L103" s="2"/>
      <c r="M103" s="2" t="s">
        <v>279</v>
      </c>
      <c r="N103" s="2" t="s">
        <v>167</v>
      </c>
      <c r="O103" s="2"/>
      <c r="P103" s="2" t="s">
        <v>55</v>
      </c>
      <c r="Q103" s="2"/>
      <c r="R103" s="2" t="s">
        <v>58</v>
      </c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 t="s">
        <v>498</v>
      </c>
      <c r="B104" s="2" t="s">
        <v>499</v>
      </c>
      <c r="C104" s="83">
        <v>44889.0</v>
      </c>
      <c r="D104" s="2" t="s">
        <v>500</v>
      </c>
      <c r="E104" s="2" t="s">
        <v>100</v>
      </c>
      <c r="F104" s="2" t="s">
        <v>101</v>
      </c>
      <c r="G104" s="2" t="s">
        <v>90</v>
      </c>
      <c r="H104" s="2" t="s">
        <v>149</v>
      </c>
      <c r="I104" s="2" t="s">
        <v>14</v>
      </c>
      <c r="J104" s="2" t="s">
        <v>127</v>
      </c>
      <c r="K104" s="2" t="s">
        <v>208</v>
      </c>
      <c r="L104" s="2"/>
      <c r="M104" s="2" t="s">
        <v>430</v>
      </c>
      <c r="N104" s="2" t="s">
        <v>303</v>
      </c>
      <c r="O104" s="83">
        <v>45783.0</v>
      </c>
      <c r="P104" s="2" t="s">
        <v>245</v>
      </c>
      <c r="Q104" s="2" t="s">
        <v>41</v>
      </c>
      <c r="R104" s="2" t="s">
        <v>63</v>
      </c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 t="s">
        <v>501</v>
      </c>
      <c r="B105" s="2" t="s">
        <v>502</v>
      </c>
      <c r="C105" s="83">
        <v>45783.0</v>
      </c>
      <c r="D105" s="2" t="s">
        <v>503</v>
      </c>
      <c r="E105" s="2" t="s">
        <v>100</v>
      </c>
      <c r="F105" s="2" t="s">
        <v>200</v>
      </c>
      <c r="G105" s="2" t="s">
        <v>90</v>
      </c>
      <c r="H105" s="2" t="s">
        <v>91</v>
      </c>
      <c r="I105" s="2" t="s">
        <v>14</v>
      </c>
      <c r="J105" s="2" t="s">
        <v>92</v>
      </c>
      <c r="K105" s="2" t="s">
        <v>355</v>
      </c>
      <c r="L105" s="2"/>
      <c r="M105" s="2" t="s">
        <v>166</v>
      </c>
      <c r="N105" s="2" t="s">
        <v>271</v>
      </c>
      <c r="O105" s="83">
        <v>45829.0</v>
      </c>
      <c r="P105" s="2" t="s">
        <v>41</v>
      </c>
      <c r="Q105" s="2" t="s">
        <v>24</v>
      </c>
      <c r="R105" s="2" t="s">
        <v>58</v>
      </c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 t="s">
        <v>504</v>
      </c>
      <c r="B106" s="2" t="s">
        <v>505</v>
      </c>
      <c r="C106" s="83">
        <v>45350.0</v>
      </c>
      <c r="D106" s="2" t="s">
        <v>506</v>
      </c>
      <c r="E106" s="2" t="s">
        <v>88</v>
      </c>
      <c r="F106" s="2" t="s">
        <v>101</v>
      </c>
      <c r="G106" s="2" t="s">
        <v>102</v>
      </c>
      <c r="H106" s="2" t="s">
        <v>111</v>
      </c>
      <c r="I106" s="2" t="s">
        <v>16</v>
      </c>
      <c r="J106" s="2" t="s">
        <v>92</v>
      </c>
      <c r="K106" s="2" t="s">
        <v>158</v>
      </c>
      <c r="L106" s="2"/>
      <c r="M106" s="2" t="s">
        <v>395</v>
      </c>
      <c r="N106" s="2" t="s">
        <v>174</v>
      </c>
      <c r="O106" s="2"/>
      <c r="P106" s="2" t="s">
        <v>10</v>
      </c>
      <c r="Q106" s="2"/>
      <c r="R106" s="2" t="s">
        <v>61</v>
      </c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 t="s">
        <v>507</v>
      </c>
      <c r="B107" s="2" t="s">
        <v>508</v>
      </c>
      <c r="C107" s="83">
        <v>45343.0</v>
      </c>
      <c r="D107" s="2" t="s">
        <v>509</v>
      </c>
      <c r="E107" s="2" t="s">
        <v>88</v>
      </c>
      <c r="F107" s="2" t="s">
        <v>101</v>
      </c>
      <c r="G107" s="2" t="s">
        <v>102</v>
      </c>
      <c r="H107" s="2" t="s">
        <v>118</v>
      </c>
      <c r="I107" s="2" t="s">
        <v>18</v>
      </c>
      <c r="J107" s="2" t="s">
        <v>127</v>
      </c>
      <c r="K107" s="2" t="s">
        <v>150</v>
      </c>
      <c r="L107" s="2"/>
      <c r="M107" s="2" t="s">
        <v>94</v>
      </c>
      <c r="N107" s="2" t="s">
        <v>195</v>
      </c>
      <c r="O107" s="2"/>
      <c r="P107" s="2" t="s">
        <v>10</v>
      </c>
      <c r="Q107" s="2"/>
      <c r="R107" s="2" t="s">
        <v>61</v>
      </c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 t="s">
        <v>510</v>
      </c>
      <c r="B108" s="2" t="s">
        <v>511</v>
      </c>
      <c r="C108" s="83">
        <v>45782.0</v>
      </c>
      <c r="D108" s="2" t="s">
        <v>512</v>
      </c>
      <c r="E108" s="2" t="s">
        <v>100</v>
      </c>
      <c r="F108" s="2" t="s">
        <v>101</v>
      </c>
      <c r="G108" s="2" t="s">
        <v>102</v>
      </c>
      <c r="H108" s="2" t="s">
        <v>135</v>
      </c>
      <c r="I108" s="2" t="s">
        <v>15</v>
      </c>
      <c r="J108" s="2" t="s">
        <v>92</v>
      </c>
      <c r="K108" s="2" t="s">
        <v>143</v>
      </c>
      <c r="L108" s="2"/>
      <c r="M108" s="2" t="s">
        <v>94</v>
      </c>
      <c r="N108" s="2" t="s">
        <v>271</v>
      </c>
      <c r="O108" s="2"/>
      <c r="P108" s="2" t="s">
        <v>41</v>
      </c>
      <c r="Q108" s="2"/>
      <c r="R108" s="2" t="s">
        <v>58</v>
      </c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 t="s">
        <v>513</v>
      </c>
      <c r="B109" s="2" t="s">
        <v>514</v>
      </c>
      <c r="C109" s="83">
        <v>45520.0</v>
      </c>
      <c r="D109" s="2" t="s">
        <v>515</v>
      </c>
      <c r="E109" s="2" t="s">
        <v>88</v>
      </c>
      <c r="F109" s="2" t="s">
        <v>101</v>
      </c>
      <c r="G109" s="2" t="s">
        <v>102</v>
      </c>
      <c r="H109" s="2" t="s">
        <v>118</v>
      </c>
      <c r="I109" s="2" t="s">
        <v>15</v>
      </c>
      <c r="J109" s="2" t="s">
        <v>119</v>
      </c>
      <c r="K109" s="2" t="s">
        <v>260</v>
      </c>
      <c r="L109" s="2"/>
      <c r="M109" s="2" t="s">
        <v>138</v>
      </c>
      <c r="N109" s="2" t="s">
        <v>184</v>
      </c>
      <c r="O109" s="2"/>
      <c r="P109" s="2" t="s">
        <v>39</v>
      </c>
      <c r="Q109" s="2"/>
      <c r="R109" s="2" t="s">
        <v>61</v>
      </c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 t="s">
        <v>516</v>
      </c>
      <c r="B110" s="2" t="s">
        <v>517</v>
      </c>
      <c r="C110" s="83">
        <v>45645.0</v>
      </c>
      <c r="D110" s="2" t="s">
        <v>518</v>
      </c>
      <c r="E110" s="2" t="s">
        <v>88</v>
      </c>
      <c r="F110" s="2" t="s">
        <v>101</v>
      </c>
      <c r="G110" s="2" t="s">
        <v>102</v>
      </c>
      <c r="H110" s="2" t="s">
        <v>230</v>
      </c>
      <c r="I110" s="2" t="s">
        <v>16</v>
      </c>
      <c r="J110" s="2" t="s">
        <v>136</v>
      </c>
      <c r="K110" s="2" t="s">
        <v>201</v>
      </c>
      <c r="L110" s="2"/>
      <c r="M110" s="2" t="s">
        <v>236</v>
      </c>
      <c r="N110" s="2" t="s">
        <v>152</v>
      </c>
      <c r="O110" s="2"/>
      <c r="P110" s="2" t="s">
        <v>28</v>
      </c>
      <c r="Q110" s="2"/>
      <c r="R110" s="2" t="s">
        <v>58</v>
      </c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 t="s">
        <v>519</v>
      </c>
      <c r="B111" s="2" t="s">
        <v>520</v>
      </c>
      <c r="C111" s="83">
        <v>45076.0</v>
      </c>
      <c r="D111" s="2" t="s">
        <v>521</v>
      </c>
      <c r="E111" s="2" t="s">
        <v>88</v>
      </c>
      <c r="F111" s="2" t="s">
        <v>156</v>
      </c>
      <c r="G111" s="2" t="s">
        <v>102</v>
      </c>
      <c r="H111" s="2" t="s">
        <v>164</v>
      </c>
      <c r="I111" s="2" t="s">
        <v>15</v>
      </c>
      <c r="J111" s="2" t="s">
        <v>193</v>
      </c>
      <c r="K111" s="2" t="s">
        <v>260</v>
      </c>
      <c r="L111" s="2"/>
      <c r="M111" s="2" t="s">
        <v>236</v>
      </c>
      <c r="N111" s="2" t="s">
        <v>293</v>
      </c>
      <c r="O111" s="2"/>
      <c r="P111" s="2" t="s">
        <v>123</v>
      </c>
      <c r="Q111" s="2"/>
      <c r="R111" s="2" t="s">
        <v>63</v>
      </c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 t="s">
        <v>522</v>
      </c>
      <c r="B112" s="2" t="s">
        <v>523</v>
      </c>
      <c r="C112" s="83">
        <v>45695.0</v>
      </c>
      <c r="D112" s="2" t="s">
        <v>524</v>
      </c>
      <c r="E112" s="2" t="s">
        <v>88</v>
      </c>
      <c r="F112" s="2" t="s">
        <v>101</v>
      </c>
      <c r="G112" s="2" t="s">
        <v>102</v>
      </c>
      <c r="H112" s="2" t="s">
        <v>149</v>
      </c>
      <c r="I112" s="2" t="s">
        <v>14</v>
      </c>
      <c r="J112" s="2" t="s">
        <v>92</v>
      </c>
      <c r="K112" s="2" t="s">
        <v>208</v>
      </c>
      <c r="L112" s="2"/>
      <c r="M112" s="2" t="s">
        <v>113</v>
      </c>
      <c r="N112" s="2" t="s">
        <v>144</v>
      </c>
      <c r="O112" s="2"/>
      <c r="P112" s="2" t="s">
        <v>64</v>
      </c>
      <c r="Q112" s="2"/>
      <c r="R112" s="2" t="s">
        <v>58</v>
      </c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 t="s">
        <v>525</v>
      </c>
      <c r="B113" s="2" t="s">
        <v>526</v>
      </c>
      <c r="C113" s="83">
        <v>44585.0</v>
      </c>
      <c r="D113" s="2" t="s">
        <v>527</v>
      </c>
      <c r="E113" s="2" t="s">
        <v>100</v>
      </c>
      <c r="F113" s="2" t="s">
        <v>101</v>
      </c>
      <c r="G113" s="2" t="s">
        <v>102</v>
      </c>
      <c r="H113" s="2" t="s">
        <v>230</v>
      </c>
      <c r="I113" s="2" t="s">
        <v>17</v>
      </c>
      <c r="J113" s="2" t="s">
        <v>119</v>
      </c>
      <c r="K113" s="2" t="s">
        <v>297</v>
      </c>
      <c r="L113" s="2"/>
      <c r="M113" s="2" t="s">
        <v>138</v>
      </c>
      <c r="N113" s="2" t="s">
        <v>212</v>
      </c>
      <c r="O113" s="2"/>
      <c r="P113" s="2" t="s">
        <v>226</v>
      </c>
      <c r="Q113" s="2"/>
      <c r="R113" s="2" t="s">
        <v>63</v>
      </c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 t="s">
        <v>528</v>
      </c>
      <c r="B114" s="2" t="s">
        <v>529</v>
      </c>
      <c r="C114" s="83">
        <v>44796.0</v>
      </c>
      <c r="D114" s="2" t="s">
        <v>530</v>
      </c>
      <c r="E114" s="2" t="s">
        <v>88</v>
      </c>
      <c r="F114" s="2" t="s">
        <v>101</v>
      </c>
      <c r="G114" s="2" t="s">
        <v>102</v>
      </c>
      <c r="H114" s="2" t="s">
        <v>118</v>
      </c>
      <c r="I114" s="2" t="s">
        <v>14</v>
      </c>
      <c r="J114" s="2" t="s">
        <v>92</v>
      </c>
      <c r="K114" s="2" t="s">
        <v>165</v>
      </c>
      <c r="L114" s="2"/>
      <c r="M114" s="2" t="s">
        <v>173</v>
      </c>
      <c r="N114" s="2" t="s">
        <v>174</v>
      </c>
      <c r="O114" s="2"/>
      <c r="P114" s="2" t="s">
        <v>494</v>
      </c>
      <c r="Q114" s="2"/>
      <c r="R114" s="2" t="s">
        <v>63</v>
      </c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 t="s">
        <v>531</v>
      </c>
      <c r="B115" s="2" t="s">
        <v>532</v>
      </c>
      <c r="C115" s="83">
        <v>45661.0</v>
      </c>
      <c r="D115" s="2" t="s">
        <v>533</v>
      </c>
      <c r="E115" s="2" t="s">
        <v>100</v>
      </c>
      <c r="F115" s="2" t="s">
        <v>101</v>
      </c>
      <c r="G115" s="2" t="s">
        <v>102</v>
      </c>
      <c r="H115" s="2" t="s">
        <v>164</v>
      </c>
      <c r="I115" s="2" t="s">
        <v>21</v>
      </c>
      <c r="J115" s="2" t="s">
        <v>193</v>
      </c>
      <c r="K115" s="2" t="s">
        <v>223</v>
      </c>
      <c r="L115" s="2"/>
      <c r="M115" s="2" t="s">
        <v>151</v>
      </c>
      <c r="N115" s="2" t="s">
        <v>139</v>
      </c>
      <c r="O115" s="2"/>
      <c r="P115" s="2" t="s">
        <v>60</v>
      </c>
      <c r="Q115" s="2"/>
      <c r="R115" s="2" t="s">
        <v>58</v>
      </c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 t="s">
        <v>534</v>
      </c>
      <c r="B116" s="2" t="s">
        <v>535</v>
      </c>
      <c r="C116" s="83">
        <v>45108.0</v>
      </c>
      <c r="D116" s="2" t="s">
        <v>536</v>
      </c>
      <c r="E116" s="2" t="s">
        <v>100</v>
      </c>
      <c r="F116" s="2" t="s">
        <v>101</v>
      </c>
      <c r="G116" s="2" t="s">
        <v>90</v>
      </c>
      <c r="H116" s="2" t="s">
        <v>149</v>
      </c>
      <c r="I116" s="2" t="s">
        <v>16</v>
      </c>
      <c r="J116" s="2" t="s">
        <v>127</v>
      </c>
      <c r="K116" s="2" t="s">
        <v>201</v>
      </c>
      <c r="L116" s="2"/>
      <c r="M116" s="2" t="s">
        <v>121</v>
      </c>
      <c r="N116" s="2" t="s">
        <v>114</v>
      </c>
      <c r="O116" s="83">
        <v>45925.0</v>
      </c>
      <c r="P116" s="2" t="s">
        <v>57</v>
      </c>
      <c r="Q116" s="2" t="s">
        <v>11</v>
      </c>
      <c r="R116" s="2" t="s">
        <v>63</v>
      </c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 t="s">
        <v>537</v>
      </c>
      <c r="B117" s="2" t="s">
        <v>538</v>
      </c>
      <c r="C117" s="83">
        <v>45874.0</v>
      </c>
      <c r="D117" s="2" t="s">
        <v>539</v>
      </c>
      <c r="E117" s="2" t="s">
        <v>88</v>
      </c>
      <c r="F117" s="2" t="s">
        <v>101</v>
      </c>
      <c r="G117" s="2" t="s">
        <v>102</v>
      </c>
      <c r="H117" s="2" t="s">
        <v>230</v>
      </c>
      <c r="I117" s="2" t="s">
        <v>16</v>
      </c>
      <c r="J117" s="2" t="s">
        <v>157</v>
      </c>
      <c r="K117" s="2" t="s">
        <v>112</v>
      </c>
      <c r="L117" s="2"/>
      <c r="M117" s="2" t="s">
        <v>113</v>
      </c>
      <c r="N117" s="2" t="s">
        <v>106</v>
      </c>
      <c r="O117" s="2"/>
      <c r="P117" s="2" t="s">
        <v>96</v>
      </c>
      <c r="Q117" s="2"/>
      <c r="R117" s="2" t="s">
        <v>58</v>
      </c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 t="s">
        <v>540</v>
      </c>
      <c r="B118" s="2" t="s">
        <v>541</v>
      </c>
      <c r="C118" s="83">
        <v>45258.0</v>
      </c>
      <c r="D118" s="2" t="s">
        <v>542</v>
      </c>
      <c r="E118" s="2" t="s">
        <v>88</v>
      </c>
      <c r="F118" s="2" t="s">
        <v>101</v>
      </c>
      <c r="G118" s="2" t="s">
        <v>102</v>
      </c>
      <c r="H118" s="2" t="s">
        <v>230</v>
      </c>
      <c r="I118" s="2" t="s">
        <v>17</v>
      </c>
      <c r="J118" s="2" t="s">
        <v>193</v>
      </c>
      <c r="K118" s="2" t="s">
        <v>278</v>
      </c>
      <c r="L118" s="2"/>
      <c r="M118" s="2" t="s">
        <v>194</v>
      </c>
      <c r="N118" s="2" t="s">
        <v>174</v>
      </c>
      <c r="O118" s="2"/>
      <c r="P118" s="2" t="s">
        <v>237</v>
      </c>
      <c r="Q118" s="2"/>
      <c r="R118" s="2" t="s">
        <v>61</v>
      </c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 t="s">
        <v>543</v>
      </c>
      <c r="B119" s="2" t="s">
        <v>544</v>
      </c>
      <c r="C119" s="83">
        <v>44790.0</v>
      </c>
      <c r="D119" s="2" t="s">
        <v>545</v>
      </c>
      <c r="E119" s="2" t="s">
        <v>100</v>
      </c>
      <c r="F119" s="2" t="s">
        <v>101</v>
      </c>
      <c r="G119" s="2" t="s">
        <v>102</v>
      </c>
      <c r="H119" s="2" t="s">
        <v>118</v>
      </c>
      <c r="I119" s="2" t="s">
        <v>14</v>
      </c>
      <c r="J119" s="2" t="s">
        <v>193</v>
      </c>
      <c r="K119" s="2" t="s">
        <v>292</v>
      </c>
      <c r="L119" s="2"/>
      <c r="M119" s="2" t="s">
        <v>236</v>
      </c>
      <c r="N119" s="2" t="s">
        <v>293</v>
      </c>
      <c r="O119" s="2"/>
      <c r="P119" s="2" t="s">
        <v>494</v>
      </c>
      <c r="Q119" s="2"/>
      <c r="R119" s="2" t="s">
        <v>63</v>
      </c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 t="s">
        <v>546</v>
      </c>
      <c r="B120" s="2" t="s">
        <v>547</v>
      </c>
      <c r="C120" s="83">
        <v>45163.0</v>
      </c>
      <c r="D120" s="2" t="s">
        <v>548</v>
      </c>
      <c r="E120" s="2" t="s">
        <v>88</v>
      </c>
      <c r="F120" s="2" t="s">
        <v>101</v>
      </c>
      <c r="G120" s="2" t="s">
        <v>90</v>
      </c>
      <c r="H120" s="2" t="s">
        <v>91</v>
      </c>
      <c r="I120" s="2" t="s">
        <v>15</v>
      </c>
      <c r="J120" s="2" t="s">
        <v>157</v>
      </c>
      <c r="K120" s="2" t="s">
        <v>260</v>
      </c>
      <c r="L120" s="2"/>
      <c r="M120" s="2" t="s">
        <v>94</v>
      </c>
      <c r="N120" s="2" t="s">
        <v>396</v>
      </c>
      <c r="O120" s="83">
        <v>45638.0</v>
      </c>
      <c r="P120" s="2" t="s">
        <v>298</v>
      </c>
      <c r="Q120" s="2" t="s">
        <v>28</v>
      </c>
      <c r="R120" s="2" t="s">
        <v>61</v>
      </c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 t="s">
        <v>549</v>
      </c>
      <c r="B121" s="2" t="s">
        <v>550</v>
      </c>
      <c r="C121" s="83">
        <v>44885.0</v>
      </c>
      <c r="D121" s="2" t="s">
        <v>551</v>
      </c>
      <c r="E121" s="2" t="s">
        <v>241</v>
      </c>
      <c r="F121" s="2" t="s">
        <v>101</v>
      </c>
      <c r="G121" s="2" t="s">
        <v>102</v>
      </c>
      <c r="H121" s="2" t="s">
        <v>149</v>
      </c>
      <c r="I121" s="2" t="s">
        <v>14</v>
      </c>
      <c r="J121" s="2" t="s">
        <v>92</v>
      </c>
      <c r="K121" s="2" t="s">
        <v>165</v>
      </c>
      <c r="L121" s="2"/>
      <c r="M121" s="2" t="s">
        <v>113</v>
      </c>
      <c r="N121" s="2" t="s">
        <v>139</v>
      </c>
      <c r="O121" s="2"/>
      <c r="P121" s="2" t="s">
        <v>245</v>
      </c>
      <c r="Q121" s="2"/>
      <c r="R121" s="2" t="s">
        <v>63</v>
      </c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67"/>
    <col customWidth="1" min="2" max="2" width="11.67"/>
    <col customWidth="1" min="3" max="26" width="6.78"/>
  </cols>
  <sheetData>
    <row r="1" ht="14.25" customHeight="1">
      <c r="A1" s="82" t="s">
        <v>73</v>
      </c>
      <c r="B1" s="82" t="s">
        <v>552</v>
      </c>
    </row>
    <row r="2" ht="14.25" customHeight="1">
      <c r="A2" s="2" t="s">
        <v>149</v>
      </c>
      <c r="B2" s="2" t="s">
        <v>25</v>
      </c>
    </row>
    <row r="3" ht="14.25" customHeight="1">
      <c r="A3" s="2" t="s">
        <v>91</v>
      </c>
      <c r="B3" s="2" t="s">
        <v>29</v>
      </c>
    </row>
    <row r="4" ht="14.25" customHeight="1">
      <c r="A4" s="2" t="s">
        <v>111</v>
      </c>
      <c r="B4" s="2" t="s">
        <v>33</v>
      </c>
    </row>
    <row r="5" ht="14.25" customHeight="1">
      <c r="A5" s="2" t="s">
        <v>118</v>
      </c>
      <c r="B5" s="2" t="s">
        <v>37</v>
      </c>
    </row>
    <row r="6" ht="14.25" customHeight="1">
      <c r="A6" s="2" t="s">
        <v>164</v>
      </c>
      <c r="B6" s="2" t="s">
        <v>40</v>
      </c>
    </row>
    <row r="7" ht="14.25" customHeight="1">
      <c r="A7" s="2" t="s">
        <v>230</v>
      </c>
      <c r="B7" s="2" t="s">
        <v>42</v>
      </c>
    </row>
    <row r="8" ht="14.25" customHeight="1">
      <c r="A8" s="2" t="s">
        <v>135</v>
      </c>
      <c r="B8" s="2" t="s">
        <v>43</v>
      </c>
    </row>
    <row r="9" ht="14.25" customHeight="1">
      <c r="A9" s="2" t="s">
        <v>103</v>
      </c>
      <c r="B9" s="2" t="s">
        <v>44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2" width="7.33"/>
    <col customWidth="1" min="3" max="26" width="6.78"/>
  </cols>
  <sheetData>
    <row r="1" ht="14.25" customHeight="1">
      <c r="A1" s="82" t="s">
        <v>9</v>
      </c>
      <c r="B1" s="82" t="s">
        <v>553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14</v>
      </c>
      <c r="B2" s="2" t="s">
        <v>554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16</v>
      </c>
      <c r="B3" s="2" t="s">
        <v>554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15</v>
      </c>
      <c r="B4" s="2" t="s">
        <v>555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 t="s">
        <v>20</v>
      </c>
      <c r="B5" s="2" t="s">
        <v>20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 t="s">
        <v>21</v>
      </c>
      <c r="B6" s="2" t="s">
        <v>556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 t="s">
        <v>17</v>
      </c>
      <c r="B7" s="2" t="s">
        <v>193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 t="s">
        <v>18</v>
      </c>
      <c r="B8" s="2" t="s">
        <v>556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 t="s">
        <v>19</v>
      </c>
      <c r="B9" s="2" t="s">
        <v>554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